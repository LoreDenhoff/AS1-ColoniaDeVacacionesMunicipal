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siones" sheetId="1" r:id="rId4"/>
    <sheet state="visible" name="Datos del grupo" sheetId="2" r:id="rId5"/>
  </sheets>
  <definedNames>
    <definedName hidden="1" localSheetId="0" name="_xlnm._FilterDatabase">Decisiones!$A$6:$W$41</definedName>
  </definedNames>
  <calcPr/>
  <extLst>
    <ext uri="GoogleSheetsCustomDataVersion2">
      <go:sheetsCustomData xmlns:go="http://customooxmlschemas.google.com/" r:id="rId6" roundtripDataChecksum="zVm2WGG34P6pUDhc+Dpn5ahF4QAw++6OBVeT2yjYYU0="/>
    </ext>
  </extLst>
</workbook>
</file>

<file path=xl/sharedStrings.xml><?xml version="1.0" encoding="utf-8"?>
<sst xmlns="http://schemas.openxmlformats.org/spreadsheetml/2006/main" count="472" uniqueCount="245">
  <si>
    <t>Datos del grupo · completar las celdas amarillas</t>
  </si>
  <si>
    <t>TP Integrador 6A · Colonia de vacaciones (municipio chico) · Decisiones del grupo</t>
  </si>
  <si>
    <t>La fila 6A de la planilla de la cátedra figura «Incompleto»: faltan el nombre del grupo, el apellido y mail de Martín, y el mail de Cristian parece cortado (.edu sin .ar). Cierre del registro: domingo 11/10, 23:59.</t>
  </si>
  <si>
    <t>Cómo usarla: cada integrante completa SOLO su columna amarilla con la letra de la opción que prefiere (A, B, C, D u «Otra»). Si elige «Otra», la escribe en Notas.</t>
  </si>
  <si>
    <t>Las columnas Votos, Resultado y Opción elegida se calculan solas. «Empate» = hay que conversarlo. La recomendación es una sugerencia para el escenario 6A, no una respuesta obligatoria.</t>
  </si>
  <si>
    <t>Nombre del grupo</t>
  </si>
  <si>
    <t>«ADR» marca las decisiones que conviene documentar como ADR (la consigna pide al menos 5). La fila gris de ejemplo no cuenta.</t>
  </si>
  <si>
    <t>Los Betos</t>
  </si>
  <si>
    <t>#</t>
  </si>
  <si>
    <t>Tema</t>
  </si>
  <si>
    <t>Decisión</t>
  </si>
  <si>
    <t>Opción A</t>
  </si>
  <si>
    <t>Opción B</t>
  </si>
  <si>
    <t>Opción C</t>
  </si>
  <si>
    <t>Opción D</t>
  </si>
  <si>
    <t>Recomendada</t>
  </si>
  <si>
    <t>Por qué (para el 6A)</t>
  </si>
  <si>
    <t>Lorena</t>
  </si>
  <si>
    <t>Cristian</t>
  </si>
  <si>
    <t>URL del repositorio</t>
  </si>
  <si>
    <t>Hernán</t>
  </si>
  <si>
    <t>Martín</t>
  </si>
  <si>
    <t>Votos</t>
  </si>
  <si>
    <t>Resultado</t>
  </si>
  <si>
    <t>Opción elegida</t>
  </si>
  <si>
    <t>ADR</t>
  </si>
  <si>
    <t>Definir antes de</t>
  </si>
  <si>
    <t>Notas</t>
  </si>
  <si>
    <t>A</t>
  </si>
  <si>
    <t>B</t>
  </si>
  <si>
    <t>C</t>
  </si>
  <si>
    <t>Día y hora de reunión semanal</t>
  </si>
  <si>
    <t>D</t>
  </si>
  <si>
    <t>Ej.</t>
  </si>
  <si>
    <t>Canal de comunicación del grupo</t>
  </si>
  <si>
    <t>Ejemplo</t>
  </si>
  <si>
    <t>WhatsApp</t>
  </si>
  <si>
    <t>Día fijo de reunión semanal del grupo</t>
  </si>
  <si>
    <t>Lunes a la noche</t>
  </si>
  <si>
    <t>Integrante</t>
  </si>
  <si>
    <t>Miércoles a la noche</t>
  </si>
  <si>
    <t>Sábado a la mañana</t>
  </si>
  <si>
    <t>Mail</t>
  </si>
  <si>
    <t>Usuario de GitHub / GitLab</t>
  </si>
  <si>
    <t>Fila de ejemplo: muestra cómo se vota. No hay que completarla.</t>
  </si>
  <si>
    <t>Área a cargo</t>
  </si>
  <si>
    <t>Revisa el área de</t>
  </si>
  <si>
    <t>Ejemplo: Ana Pérez</t>
  </si>
  <si>
    <t>ana.perez@mail.com</t>
  </si>
  <si>
    <t>anaperez</t>
  </si>
  <si>
    <t>Identidad y despliegue</t>
  </si>
  <si>
    <t>Backend y dominio</t>
  </si>
  <si>
    <t>Lorena Denhoff</t>
  </si>
  <si>
    <t>lorenadenhoff@gmail.com</t>
  </si>
  <si>
    <t>LoreDenhoff</t>
  </si>
  <si>
    <t>Cristian Luna</t>
  </si>
  <si>
    <t>cristiansebastian.luna@estudiantes.unahur.edu.ar</t>
  </si>
  <si>
    <t>Hernán Viltez</t>
  </si>
  <si>
    <t>hjviltez@gmail.com</t>
  </si>
  <si>
    <t>Áreas sugeridas: Documento y ADRs · Backend y dominio · Identidad y despliegue · API, mock y frontend.</t>
  </si>
  <si>
    <t>No</t>
  </si>
  <si>
    <t>—</t>
  </si>
  <si>
    <t>Organización</t>
  </si>
  <si>
    <t>Plataforma del repositorio</t>
  </si>
  <si>
    <t>GitHub</t>
  </si>
  <si>
    <t>GitLab</t>
  </si>
  <si>
    <t>La que ya usen los 4. La Clase 10 pide tener cuenta en una de las dos.</t>
  </si>
  <si>
    <t>15/10</t>
  </si>
  <si>
    <t>Forma de trabajo en Git</t>
  </si>
  <si>
    <t>Ramas cortas + pull request revisado por otro integrante</t>
  </si>
  <si>
    <t>GitFlow (develop, release, feature)</t>
  </si>
  <si>
    <t>Todos directo a main</t>
  </si>
  <si>
    <t>El historial de commits es evidencia para la nota individual: conviene que los 4 tengan commits y revisen.</t>
  </si>
  <si>
    <t>Dónde se escribe el documento de arquitectura</t>
  </si>
  <si>
    <t>Markdown en el repo (carpeta docs/), exportado a PDF para entregar</t>
  </si>
  <si>
    <t>Google Docs compartido</t>
  </si>
  <si>
    <t>Word</t>
  </si>
  <si>
    <t>Empezar en Google Docs y pasar a Markdown</t>
  </si>
  <si>
    <t>Queda versionado junto al código y los ADRs; coherente con mantenibilidad.</t>
  </si>
  <si>
    <t>Herramienta para los diagramas C4</t>
  </si>
  <si>
    <t>Mermaid dentro del Markdown</t>
  </si>
  <si>
    <t>C4-PlantUML / Structurizr</t>
  </si>
  <si>
    <t>draw.io (imagen exportada)</t>
  </si>
  <si>
    <t>Manejamos draw.io pero se puede hacer ahí y después, si queda tiempo, aprender los del A o B</t>
  </si>
  <si>
    <t>Es texto versionable y GitHub lo muestra sin instalar nada.</t>
  </si>
  <si>
    <t>Reparto del trabajo</t>
  </si>
  <si>
    <t>Un responsable por área (documento y ADRs / backend y dominio / identidad y despliegue / API, mock y frontend) con revisión cruzada</t>
  </si>
  <si>
    <t>Todos hacen de todo, en pares</t>
  </si>
  <si>
    <t>Cada uno un entregable, sin revisión cruzada</t>
  </si>
  <si>
    <t>El docente elige qué expone cada uno: todos tienen que poder defender cualquier parte.</t>
  </si>
  <si>
    <t>Idioma del código, la API y la base</t>
  </si>
  <si>
    <t>Español para el dominio (inscripciones, turnos, tutores)</t>
  </si>
  <si>
    <t>Todo en inglés</t>
  </si>
  <si>
    <t>Lenguaje ubicuo de DDD. Lo importante es elegir una convención y sostenerla (Clase 9).</t>
  </si>
  <si>
    <t>Arquitectura</t>
  </si>
  <si>
    <t>Estilo arquitectónico</t>
  </si>
  <si>
    <t>Monolito por capas</t>
  </si>
  <si>
    <t>Monolito modular</t>
  </si>
  <si>
    <t>Servicios / microservicios</t>
  </si>
  <si>
    <t>Orientado a eventos</t>
  </si>
  <si>
    <t>600 cupos y una sola persona manteniéndolo: un solo desplegable, con módulos claros. Sobredimensionar se penaliza. Es la decisión que se justifica con la Matriz de Pugh.</t>
  </si>
  <si>
    <t>Sí</t>
  </si>
  <si>
    <t>22/10</t>
  </si>
  <si>
    <t>Cuánta Clean Architecture aplicar</t>
  </si>
  <si>
    <t>Completa: dominio, casos de uso, adaptadores</t>
  </si>
  <si>
    <t>Liviana: dominio sin dependencias + repositorios como interfaz</t>
  </si>
  <si>
    <t>Ninguna: lógica en los controladores</t>
  </si>
  <si>
    <t>Protege las reglas (cupo, edad, residencia) sin sumar capas que una sola persona tenga que mantener.</t>
  </si>
  <si>
    <t>Lenguaje y framework del backend</t>
  </si>
  <si>
    <t>Java + Spring Boot</t>
  </si>
  <si>
    <t>Python + FastAPI</t>
  </si>
  <si>
    <t>Node.js / TypeScript (NestJS o Express)</t>
  </si>
  <si>
    <t>C# / .NET</t>
  </si>
  <si>
    <t>Elijan el que mejor manejen los 4. Si hay empate, FastAPI: genera OpenAPI solo y consume poca memoria en un servidor compartido.</t>
  </si>
  <si>
    <t>Interfaz de usuario</t>
  </si>
  <si>
    <t>Páginas renderizadas en el servidor (MPA)</t>
  </si>
  <si>
    <t>SPA mínima servida como archivos estáticos por el mismo backend</t>
  </si>
  <si>
    <t>SPA en un contenedor propio</t>
  </si>
  <si>
    <t>Sin interfaz: solo la API con Swagger UI</t>
  </si>
  <si>
    <t>Muestra el caso de uso de punta a punta consumiendo la API, sin sumar un contenedor más.</t>
  </si>
  <si>
    <t>Datos</t>
  </si>
  <si>
    <t>Base de datos</t>
  </si>
  <si>
    <t>PostgreSQL</t>
  </si>
  <si>
    <t>MySQL / MariaDB</t>
  </si>
  <si>
    <t>SQLite (un archivo)</t>
  </si>
  <si>
    <t>MongoDB</t>
  </si>
  <si>
    <t>Transacciones ACID y restricciones para no pasar el cupo ni duplicar chicos. SQLite es la alternativa a discutir en el ADR (más barata, peor concurrencia).</t>
  </si>
  <si>
    <t>Acceso a datos</t>
  </si>
  <si>
    <t>ORM con repositorios</t>
  </si>
  <si>
    <t>SQL escrito a mano</t>
  </si>
  <si>
    <t>Active Record</t>
  </si>
  <si>
    <t>Separa dominio de persistencia (Clase 4) y es lo más conocido para quien lo herede.</t>
  </si>
  <si>
    <t>Evolución del esquema</t>
  </si>
  <si>
    <t>Migraciones versionadas que corren solas al iniciar</t>
  </si>
  <si>
    <t>Script SQL que se ejecuta a mano</t>
  </si>
  <si>
    <t>Comparación de estado con una herramienta</t>
  </si>
  <si>
    <t>Responde a la restricción: al año siguiente la base se arma sola, sin pasos que recordar.</t>
  </si>
  <si>
    <t>Cómo se garantiza que un chico no quede inscripto dos veces</t>
  </si>
  <si>
    <t>Restricción UNIQUE en la base (DNI del chico + temporada) además de la validación en el dominio</t>
  </si>
  <si>
    <t>Solo validación en el código</t>
  </si>
  <si>
    <t>La base es la última línea de defensa ante dos pedidos simultáneos.</t>
  </si>
  <si>
    <t>Control del cupo y del orden de llegada</t>
  </si>
  <si>
    <t>Transacción con bloqueo de la fila del turno</t>
  </si>
  <si>
    <t>Bloqueo optimista con número de versión y reintento</t>
  </si>
  <si>
    <t>Cola que procesa las inscripciones de a una</t>
  </si>
  <si>
    <t>Con esta escala alcanza una transacción; una cola sería sobredimensionar.</t>
  </si>
  <si>
    <t>Qué pasa cuando el cupo está agotado</t>
  </si>
  <si>
    <t>Se rechaza (409) y nada más</t>
  </si>
  <si>
    <t>Lista de espera diseñada en el documento, pero se implementa solo el rechazo</t>
  </si>
  <si>
    <t>Lista de espera implementada</t>
  </si>
  <si>
    <t>Se diseña el sistema completo y se implementa el corte mínimo, como pide la consigna.</t>
  </si>
  <si>
    <t>Identidad</t>
  </si>
  <si>
    <t>Proveedor de identidad (OIDC)</t>
  </si>
  <si>
    <t>Keycloak</t>
  </si>
  <si>
    <t>Authentik</t>
  </si>
  <si>
    <t>Zitadel</t>
  </si>
  <si>
    <t>Otro más liviano (Dex, etc.)</t>
  </si>
  <si>
    <t>El más documentado y su configuración se importa sola desde un archivo. Consume bastante memoria: es un trade-off para el ADR. Confirmar con lo que se use en la Clase 11 (22/10).</t>
  </si>
  <si>
    <t>No los conocemos (Cris/Lore)</t>
  </si>
  <si>
    <t>Flujo de autenticación</t>
  </si>
  <si>
    <t>Authorization Code + PKCE en el cliente; la API valida el token</t>
  </si>
  <si>
    <t>El backend maneja el login y guarda sesión</t>
  </si>
  <si>
    <t>Mantiene la API sin estado, una de las restricciones de REST.</t>
  </si>
  <si>
    <t>29/10</t>
  </si>
  <si>
    <t>Roles</t>
  </si>
  <si>
    <t>Tutor y administrativo</t>
  </si>
  <si>
    <t>Tutor, administrativo y administrador de sistema</t>
  </si>
  <si>
    <t>Son los dos roles del dominio y el mínimo que pide la consigna.</t>
  </si>
  <si>
    <t>Integración</t>
  </si>
  <si>
    <t>Mock del padrón de residentes</t>
  </si>
  <si>
    <t>WireMock (respuestas definidas en archivos)</t>
  </si>
  <si>
    <t>Mockoon</t>
  </si>
  <si>
    <t>Servicio propio mínimo</t>
  </si>
  <si>
    <t>Prism a partir de un OpenAPI</t>
  </si>
  <si>
    <t>No requiere programar nada y los casos (residente, no residente, caído) quedan en el repo.</t>
  </si>
  <si>
    <t>Cómo se consulta el padrón</t>
  </si>
  <si>
    <t>Llamada REST sincrónica con timeout, detrás de una capa de traducción (ACL)</t>
  </si>
  <si>
    <t>Asincrónica por cola de mensajes</t>
  </si>
  <si>
    <t>Copia local del padrón</t>
  </si>
  <si>
    <t>El tutor necesita la respuesta para seguir; el ACL baja el acoplamiento con un sistema que no controlamos (Clase 4).</t>
  </si>
  <si>
    <t>Qué pasa si el padrón no responde</t>
  </si>
  <si>
    <t>Se rechaza con 503 y se reintenta más tarde</t>
  </si>
  <si>
    <t>La inscripción queda pendiente de validación y conserva su lugar</t>
  </si>
  <si>
    <t>Se acepta igual</t>
  </si>
  <si>
    <t>Lo más simple. La opción B cuida mejor el orden de llegada pero suma estados: buena alternativa para el ADR.</t>
  </si>
  <si>
    <t>5/11</t>
  </si>
  <si>
    <t>API</t>
  </si>
  <si>
    <t>Versionado de la API</t>
  </si>
  <si>
    <t>En la URI (/v1/...)</t>
  </si>
  <si>
    <t>En un header</t>
  </si>
  <si>
    <t>En el media type</t>
  </si>
  <si>
    <t>La más simple y visible (Clase 9).</t>
  </si>
  <si>
    <t>Cómo se produce el contrato OpenAPI</t>
  </si>
  <si>
    <t>Code-first: se genera desde el código</t>
  </si>
  <si>
    <t>Contract-first: se escribe primero el contrato</t>
  </si>
  <si>
    <t>El contrato nunca queda desactualizado. Contract-first permite trabajar en paralelo, pero hay que mantener dos cosas.</t>
  </si>
  <si>
    <t>Reintentos del alta de inscripción</t>
  </si>
  <si>
    <t>Header Idempotency-Key</t>
  </si>
  <si>
    <t>Idempotencia natural: la restricción UNIQUE hace que repetir no duplique</t>
  </si>
  <si>
    <t>No se contempla</t>
  </si>
  <si>
    <t>Responde la pregunta guía de la Clase 9 («si este request se repite, ¿qué pasa?») sin infraestructura extra.</t>
  </si>
  <si>
    <t>Despliegue</t>
  </si>
  <si>
    <t>Herramienta para levantar todo</t>
  </si>
  <si>
    <t>docker compose (compatible con podman compose)</t>
  </si>
  <si>
    <t>Solo podman compose</t>
  </si>
  <si>
    <t>Un solo comando, como exige la consigna.</t>
  </si>
  <si>
    <t>Versiones de las imágenes</t>
  </si>
  <si>
    <t>Fijadas a una versión exacta</t>
  </si>
  <si>
    <t>latest</t>
  </si>
  <si>
    <t>Dentro de un año tiene que levantar igual que hoy.</t>
  </si>
  <si>
    <t>Configuración y secretos</t>
  </si>
  <si>
    <t>.env.example en el repo y .env local sin subir</t>
  </si>
  <si>
    <t>Valores escritos en el compose</t>
  </si>
  <si>
    <t>Queda documentado qué hay que configurar sin subir claves.</t>
  </si>
  <si>
    <t>Datos y usuarios de prueba</t>
  </si>
  <si>
    <t>Se cargan solos al levantar (turnos, usuarios y roles)</t>
  </si>
  <si>
    <t>Se cargan a mano siguiendo el README</t>
  </si>
  <si>
    <t>El jurado y quien lo herede lo prueban sin pasos manuales.</t>
  </si>
  <si>
    <t>HTTPS</t>
  </si>
  <si>
    <t>Sin proxy por ahora; TLS documentado como pendiente</t>
  </si>
  <si>
    <t>Proxy con TLS (Caddy o Traefik)</t>
  </si>
  <si>
    <t>Preguntar al docente</t>
  </si>
  <si>
    <t>Revisar después de la Clase 12 (29/10), que trata TLS.</t>
  </si>
  <si>
    <t>Calidad</t>
  </si>
  <si>
    <t>Pruebas automáticas</t>
  </si>
  <si>
    <t>Tests del dominio + un test de integración del caso de uso</t>
  </si>
  <si>
    <t>Sin tests</t>
  </si>
  <si>
    <t>Cobertura amplia</t>
  </si>
  <si>
    <t>Alcanza para demostrar las reglas de cupo y duplicado sin gastar el tiempo del TP.</t>
  </si>
  <si>
    <t>Cómo se verifican los NFR</t>
  </si>
  <si>
    <t>Con evidencia: levantar desde cero en una máquina limpia cronometrado, prueba de inscripciones simultáneas y consumo de memoria</t>
  </si>
  <si>
    <t>Solo argumentación en el documento</t>
  </si>
  <si>
    <t>«Verificación de NFRs» es un entregable; la evidencia vale más que el argumento.</t>
  </si>
  <si>
    <t>Integración continua</t>
  </si>
  <si>
    <t>Pipeline mínimo (build + tests)</t>
  </si>
  <si>
    <t>Sin CI</t>
  </si>
  <si>
    <t>Opcional. Barato de armar y ayuda a que main siempre levante.</t>
  </si>
  <si>
    <t>Registro y monitoreo</t>
  </si>
  <si>
    <t>Logs a la salida estándar de los contenedores</t>
  </si>
  <si>
    <t>Stack de monitoreo (Prometheus, Grafana)</t>
  </si>
  <si>
    <t>Una sola persona no va a mantener un stack de monitoreo para 3 semanas al año.</t>
  </si>
  <si>
    <t>Decisiones en total</t>
  </si>
  <si>
    <t>Con los 4 votos</t>
  </si>
  <si>
    <t>Sin ningún voto</t>
  </si>
  <si>
    <t>En empate (hay que conversarlas)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</si>
</sst>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/>
    <font>
      <i/>
      <sz val="9.0"/>
      <color theme="1"/>
      <name val="Arial"/>
    </font>
    <font>
      <b/>
      <i/>
      <sz val="9.0"/>
      <color theme="1"/>
      <name val="Arial"/>
    </font>
    <font>
      <b/>
      <sz val="10.0"/>
      <color rgb="FF0000FF"/>
      <name val="Arial"/>
    </font>
    <font>
      <i/>
      <sz val="10.0"/>
      <color theme="1"/>
      <name val="Arial"/>
    </font>
    <font>
      <color theme="1"/>
      <name val="Calibri"/>
      <scheme val="minor"/>
    </font>
    <font>
      <sz val="9.0"/>
      <color theme="1"/>
      <name val="Arial"/>
    </font>
    <font>
      <b/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</fills>
  <borders count="6">
    <border/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Font="1"/>
    <xf borderId="1" fillId="2" fontId="3" numFmtId="0" xfId="0" applyAlignment="1" applyBorder="1" applyFill="1" applyFont="1">
      <alignment horizontal="center" shrinkToFit="0" vertical="top" wrapText="1"/>
    </xf>
    <xf borderId="2" fillId="3" fontId="4" numFmtId="0" xfId="0" applyAlignment="1" applyBorder="1" applyFill="1" applyFont="1">
      <alignment readingOrder="0"/>
    </xf>
    <xf borderId="3" fillId="0" fontId="5" numFmtId="0" xfId="0" applyBorder="1" applyFont="1"/>
    <xf borderId="4" fillId="0" fontId="5" numFmtId="0" xfId="0" applyBorder="1" applyFont="1"/>
    <xf borderId="2" fillId="4" fontId="4" numFmtId="0" xfId="0" applyBorder="1" applyFill="1" applyFont="1"/>
    <xf borderId="5" fillId="2" fontId="3" numFmtId="0" xfId="0" applyAlignment="1" applyBorder="1" applyFill="1" applyFont="1">
      <alignment horizontal="center" shrinkToFit="0" vertical="top" wrapText="1"/>
    </xf>
    <xf borderId="5" fillId="5" fontId="6" numFmtId="0" xfId="0" applyAlignment="1" applyBorder="1" applyFill="1" applyFont="1">
      <alignment horizontal="center" shrinkToFit="0" vertical="top" wrapText="1"/>
    </xf>
    <xf borderId="5" fillId="5" fontId="6" numFmtId="0" xfId="0" applyAlignment="1" applyBorder="1" applyFill="1" applyFont="1">
      <alignment shrinkToFit="0" vertical="top" wrapText="1"/>
    </xf>
    <xf borderId="5" fillId="5" fontId="7" numFmtId="0" xfId="0" applyAlignment="1" applyBorder="1" applyFill="1" applyFont="1">
      <alignment shrinkToFit="0" vertical="top" wrapText="1"/>
    </xf>
    <xf borderId="5" fillId="2" fontId="3" numFmtId="0" xfId="0" applyBorder="1" applyFill="1" applyFont="1"/>
    <xf borderId="5" fillId="5" fontId="7" numFmtId="0" xfId="0" applyAlignment="1" applyBorder="1" applyFill="1" applyFont="1">
      <alignment horizontal="center" shrinkToFit="0" vertical="top" wrapText="1"/>
    </xf>
    <xf borderId="5" fillId="5" fontId="8" numFmtId="0" xfId="0" applyAlignment="1" applyBorder="1" applyFill="1" applyFont="1">
      <alignment horizontal="center" shrinkToFit="0" vertical="top" wrapText="1"/>
    </xf>
    <xf borderId="5" fillId="6" fontId="9" numFmtId="0" xfId="0" applyBorder="1" applyFill="1" applyFont="1"/>
    <xf borderId="5" fillId="0" fontId="2" numFmtId="0" xfId="0" applyBorder="1" applyFont="1"/>
    <xf borderId="5" fillId="3" fontId="2" numFmtId="0" xfId="0" applyAlignment="1" applyBorder="1" applyFill="1" applyFont="1">
      <alignment readingOrder="0"/>
    </xf>
    <xf borderId="5" fillId="4" fontId="2" numFmtId="0" xfId="0" applyBorder="1" applyFill="1" applyFont="1"/>
    <xf borderId="0" fillId="0" fontId="2" numFmtId="0" xfId="0" applyFont="1"/>
    <xf borderId="0" fillId="5" fontId="10" numFmtId="0" xfId="0" applyFill="1" applyFont="1"/>
    <xf borderId="5" fillId="0" fontId="11" numFmtId="0" xfId="0" applyAlignment="1" applyBorder="1" applyFont="1">
      <alignment horizontal="center" shrinkToFit="0" vertical="top" wrapText="1"/>
    </xf>
    <xf borderId="5" fillId="0" fontId="11" numFmtId="0" xfId="0" applyAlignment="1" applyBorder="1" applyFont="1">
      <alignment shrinkToFit="0" vertical="top" wrapText="1"/>
    </xf>
    <xf borderId="5" fillId="0" fontId="12" numFmtId="0" xfId="0" applyAlignment="1" applyBorder="1" applyFont="1">
      <alignment shrinkToFit="0" vertical="top" wrapText="1"/>
    </xf>
    <xf borderId="5" fillId="0" fontId="12" numFmtId="0" xfId="0" applyAlignment="1" applyBorder="1" applyFont="1">
      <alignment horizontal="center" shrinkToFit="0" vertical="top" wrapText="1"/>
    </xf>
    <xf borderId="5" fillId="4" fontId="8" numFmtId="0" xfId="0" applyAlignment="1" applyBorder="1" applyFill="1" applyFont="1">
      <alignment horizontal="center" readingOrder="0" shrinkToFit="0" vertical="top" wrapText="1"/>
    </xf>
    <xf borderId="5" fillId="4" fontId="8" numFmtId="0" xfId="0" applyAlignment="1" applyBorder="1" applyFill="1" applyFont="1">
      <alignment horizontal="center" shrinkToFit="0" vertical="top" wrapText="1"/>
    </xf>
    <xf borderId="5" fillId="6" fontId="11" numFmtId="0" xfId="0" applyAlignment="1" applyBorder="1" applyFill="1" applyFont="1">
      <alignment horizontal="center" shrinkToFit="0" vertical="top" wrapText="1"/>
    </xf>
    <xf borderId="5" fillId="6" fontId="12" numFmtId="0" xfId="0" applyAlignment="1" applyBorder="1" applyFill="1" applyFont="1">
      <alignment horizontal="center" shrinkToFit="0" vertical="top" wrapText="1"/>
    </xf>
    <xf borderId="5" fillId="6" fontId="11" numFmtId="0" xfId="0" applyAlignment="1" applyBorder="1" applyFill="1" applyFont="1">
      <alignment shrinkToFit="0" vertical="top" wrapText="1"/>
    </xf>
    <xf borderId="5" fillId="0" fontId="11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F4B084"/>
          <bgColor rgb="FFF4B084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5.0"/>
    <col customWidth="1" min="2" max="2" width="13.0"/>
    <col customWidth="1" min="3" max="3" width="21.86"/>
    <col customWidth="1" min="4" max="6" width="26.0"/>
    <col customWidth="1" min="7" max="7" width="22.0"/>
    <col customWidth="1" min="8" max="8" width="14.0"/>
    <col customWidth="1" min="9" max="9" width="44.0"/>
    <col customWidth="1" min="10" max="10" width="10.29"/>
    <col customWidth="1" min="11" max="11" width="12.0"/>
    <col customWidth="1" min="12" max="12" width="11.0"/>
    <col customWidth="1" min="13" max="13" width="11.14"/>
    <col customWidth="1" min="14" max="14" width="7.0"/>
    <col customWidth="1" min="15" max="15" width="10.0"/>
    <col customWidth="1" min="16" max="16" width="28.0"/>
    <col customWidth="1" min="17" max="17" width="6.0"/>
    <col customWidth="1" min="18" max="18" width="9.0"/>
    <col customWidth="1" min="19" max="19" width="26.0"/>
    <col customWidth="1" hidden="1" min="20" max="23" width="4.0"/>
    <col customWidth="1" min="24" max="26" width="9.14"/>
  </cols>
  <sheetData>
    <row r="1">
      <c r="A1" s="1" t="s">
        <v>1</v>
      </c>
    </row>
    <row r="2" ht="15.75" customHeight="1">
      <c r="A2" s="2" t="s">
        <v>3</v>
      </c>
    </row>
    <row r="3" ht="15.75" customHeight="1">
      <c r="A3" s="2" t="s">
        <v>4</v>
      </c>
    </row>
    <row r="4" ht="15.75" customHeight="1">
      <c r="A4" s="2" t="s">
        <v>6</v>
      </c>
    </row>
    <row r="6" ht="30.0" customHeight="1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4" t="s">
        <v>16</v>
      </c>
      <c r="J6" s="4" t="s">
        <v>17</v>
      </c>
      <c r="K6" s="4" t="s">
        <v>18</v>
      </c>
      <c r="L6" s="4" t="s">
        <v>20</v>
      </c>
      <c r="M6" s="4" t="s">
        <v>21</v>
      </c>
      <c r="N6" s="4" t="s">
        <v>22</v>
      </c>
      <c r="O6" s="4" t="s">
        <v>23</v>
      </c>
      <c r="P6" s="4" t="s">
        <v>24</v>
      </c>
      <c r="Q6" s="4" t="s">
        <v>25</v>
      </c>
      <c r="R6" s="9" t="s">
        <v>26</v>
      </c>
      <c r="S6" s="9" t="s">
        <v>27</v>
      </c>
      <c r="T6" s="9" t="s">
        <v>28</v>
      </c>
      <c r="U6" s="9" t="s">
        <v>29</v>
      </c>
      <c r="V6" s="9" t="s">
        <v>30</v>
      </c>
      <c r="W6" s="9" t="s">
        <v>32</v>
      </c>
    </row>
    <row r="7" ht="39.75" customHeight="1">
      <c r="A7" s="10" t="s">
        <v>33</v>
      </c>
      <c r="B7" s="11" t="s">
        <v>35</v>
      </c>
      <c r="C7" s="12" t="s">
        <v>37</v>
      </c>
      <c r="D7" s="11" t="s">
        <v>38</v>
      </c>
      <c r="E7" s="11" t="s">
        <v>40</v>
      </c>
      <c r="F7" s="11" t="s">
        <v>41</v>
      </c>
      <c r="G7" s="11"/>
      <c r="H7" s="14" t="s">
        <v>29</v>
      </c>
      <c r="I7" s="11" t="s">
        <v>44</v>
      </c>
      <c r="J7" s="15" t="s">
        <v>29</v>
      </c>
      <c r="K7" s="15" t="s">
        <v>29</v>
      </c>
      <c r="L7" s="15" t="s">
        <v>28</v>
      </c>
      <c r="M7" s="15" t="s">
        <v>29</v>
      </c>
      <c r="N7" s="10" t="str">
        <f t="shared" ref="N7:N41" si="1">COUNTA(J7:M7)&amp;"/4"</f>
        <v>4/4</v>
      </c>
      <c r="O7" s="14" t="str">
        <f t="shared" ref="O7:O41" si="2">IF(COUNTA(J7:M7)=0,"Sin votos",IF(MAX(T7:W7)=0,"Otra",IF(COUNTIF(T7:W7,MAX(T7:W7))&gt;1,"Empate",INDEX($T$6:$W$6,MATCH(MAX(T7:W7),T7:W7,0)))))</f>
        <v>B</v>
      </c>
      <c r="P7" s="11" t="str">
        <f t="shared" ref="P7:P41" si="3">IF(ISNUMBER(MATCH(O7,$T$6:$W$6,0)),INDEX(D7:G7,MATCH(O7,$T$6:$W$6,0)),"")</f>
        <v>Miércoles a la noche</v>
      </c>
      <c r="Q7" s="10" t="s">
        <v>60</v>
      </c>
      <c r="R7" s="10" t="s">
        <v>61</v>
      </c>
      <c r="S7" s="11"/>
      <c r="T7" s="10">
        <f t="shared" ref="T7:T41" si="4">COUNTIF($J7:$M7,"A")</f>
        <v>1</v>
      </c>
      <c r="U7" s="10">
        <f t="shared" ref="U7:U41" si="5">COUNTIF($J7:$M7,"B")</f>
        <v>3</v>
      </c>
      <c r="V7" s="10">
        <f t="shared" ref="V7:V41" si="6">COUNTIF($J7:$M7,"C")</f>
        <v>0</v>
      </c>
      <c r="W7" s="10">
        <f t="shared" ref="W7:W41" si="7">COUNTIF($J7:$M7,"D")</f>
        <v>0</v>
      </c>
      <c r="X7" s="21"/>
      <c r="Y7" s="21"/>
      <c r="Z7" s="21"/>
    </row>
    <row r="8" ht="39.75" customHeight="1">
      <c r="A8" s="22">
        <v>1.0</v>
      </c>
      <c r="B8" s="23" t="s">
        <v>62</v>
      </c>
      <c r="C8" s="24" t="s">
        <v>63</v>
      </c>
      <c r="D8" s="23" t="s">
        <v>64</v>
      </c>
      <c r="E8" s="23" t="s">
        <v>65</v>
      </c>
      <c r="F8" s="23"/>
      <c r="G8" s="23"/>
      <c r="H8" s="25" t="s">
        <v>28</v>
      </c>
      <c r="I8" s="23" t="s">
        <v>66</v>
      </c>
      <c r="J8" s="26" t="s">
        <v>28</v>
      </c>
      <c r="K8" s="26" t="s">
        <v>28</v>
      </c>
      <c r="L8" s="27" t="s">
        <v>28</v>
      </c>
      <c r="M8" s="27"/>
      <c r="N8" s="28" t="str">
        <f t="shared" si="1"/>
        <v>3/4</v>
      </c>
      <c r="O8" s="29" t="str">
        <f t="shared" si="2"/>
        <v>A</v>
      </c>
      <c r="P8" s="30" t="str">
        <f t="shared" si="3"/>
        <v>GitHub</v>
      </c>
      <c r="Q8" s="22" t="s">
        <v>60</v>
      </c>
      <c r="R8" s="22" t="s">
        <v>67</v>
      </c>
      <c r="S8" s="23"/>
      <c r="T8" s="28">
        <f t="shared" si="4"/>
        <v>3</v>
      </c>
      <c r="U8" s="28">
        <f t="shared" si="5"/>
        <v>0</v>
      </c>
      <c r="V8" s="28">
        <f t="shared" si="6"/>
        <v>0</v>
      </c>
      <c r="W8" s="28">
        <f t="shared" si="7"/>
        <v>0</v>
      </c>
    </row>
    <row r="9" ht="64.5" customHeight="1">
      <c r="A9" s="22">
        <v>2.0</v>
      </c>
      <c r="B9" s="23" t="s">
        <v>62</v>
      </c>
      <c r="C9" s="24" t="s">
        <v>68</v>
      </c>
      <c r="D9" s="23" t="s">
        <v>69</v>
      </c>
      <c r="E9" s="23" t="s">
        <v>70</v>
      </c>
      <c r="F9" s="23" t="s">
        <v>71</v>
      </c>
      <c r="G9" s="23"/>
      <c r="H9" s="25" t="s">
        <v>28</v>
      </c>
      <c r="I9" s="23" t="s">
        <v>72</v>
      </c>
      <c r="J9" s="26" t="s">
        <v>28</v>
      </c>
      <c r="K9" s="26" t="s">
        <v>28</v>
      </c>
      <c r="L9" s="27" t="s">
        <v>28</v>
      </c>
      <c r="M9" s="27"/>
      <c r="N9" s="28" t="str">
        <f t="shared" si="1"/>
        <v>3/4</v>
      </c>
      <c r="O9" s="29" t="str">
        <f t="shared" si="2"/>
        <v>A</v>
      </c>
      <c r="P9" s="30" t="str">
        <f t="shared" si="3"/>
        <v>Ramas cortas + pull request revisado por otro integrante</v>
      </c>
      <c r="Q9" s="22" t="s">
        <v>60</v>
      </c>
      <c r="R9" s="22" t="s">
        <v>67</v>
      </c>
      <c r="S9" s="23"/>
      <c r="T9" s="28">
        <f t="shared" si="4"/>
        <v>3</v>
      </c>
      <c r="U9" s="28">
        <f t="shared" si="5"/>
        <v>0</v>
      </c>
      <c r="V9" s="28">
        <f t="shared" si="6"/>
        <v>0</v>
      </c>
      <c r="W9" s="28">
        <f t="shared" si="7"/>
        <v>0</v>
      </c>
    </row>
    <row r="10" ht="51.75" customHeight="1">
      <c r="A10" s="22">
        <v>3.0</v>
      </c>
      <c r="B10" s="23" t="s">
        <v>62</v>
      </c>
      <c r="C10" s="24" t="s">
        <v>73</v>
      </c>
      <c r="D10" s="23" t="s">
        <v>74</v>
      </c>
      <c r="E10" s="23" t="s">
        <v>75</v>
      </c>
      <c r="F10" s="23" t="s">
        <v>76</v>
      </c>
      <c r="G10" s="31" t="s">
        <v>77</v>
      </c>
      <c r="H10" s="25" t="s">
        <v>28</v>
      </c>
      <c r="I10" s="23" t="s">
        <v>78</v>
      </c>
      <c r="J10" s="26" t="s">
        <v>32</v>
      </c>
      <c r="K10" s="26" t="s">
        <v>32</v>
      </c>
      <c r="L10" s="27" t="s">
        <v>28</v>
      </c>
      <c r="M10" s="27"/>
      <c r="N10" s="28" t="str">
        <f t="shared" si="1"/>
        <v>3/4</v>
      </c>
      <c r="O10" s="29" t="str">
        <f t="shared" si="2"/>
        <v>D</v>
      </c>
      <c r="P10" s="30" t="str">
        <f t="shared" si="3"/>
        <v>Empezar en Google Docs y pasar a Markdown</v>
      </c>
      <c r="Q10" s="22" t="s">
        <v>60</v>
      </c>
      <c r="R10" s="22" t="s">
        <v>67</v>
      </c>
      <c r="S10" s="23"/>
      <c r="T10" s="28">
        <f t="shared" si="4"/>
        <v>1</v>
      </c>
      <c r="U10" s="28">
        <f t="shared" si="5"/>
        <v>0</v>
      </c>
      <c r="V10" s="28">
        <f t="shared" si="6"/>
        <v>0</v>
      </c>
      <c r="W10" s="28">
        <f t="shared" si="7"/>
        <v>2</v>
      </c>
    </row>
    <row r="11" ht="39.75" customHeight="1">
      <c r="A11" s="22">
        <v>4.0</v>
      </c>
      <c r="B11" s="23" t="s">
        <v>62</v>
      </c>
      <c r="C11" s="24" t="s">
        <v>79</v>
      </c>
      <c r="D11" s="23" t="s">
        <v>80</v>
      </c>
      <c r="E11" s="23" t="s">
        <v>81</v>
      </c>
      <c r="F11" s="23" t="s">
        <v>82</v>
      </c>
      <c r="G11" s="31" t="s">
        <v>83</v>
      </c>
      <c r="H11" s="25" t="s">
        <v>28</v>
      </c>
      <c r="I11" s="23" t="s">
        <v>84</v>
      </c>
      <c r="J11" s="26" t="s">
        <v>32</v>
      </c>
      <c r="K11" s="26" t="s">
        <v>32</v>
      </c>
      <c r="L11" s="27" t="s">
        <v>28</v>
      </c>
      <c r="M11" s="27"/>
      <c r="N11" s="28" t="str">
        <f t="shared" si="1"/>
        <v>3/4</v>
      </c>
      <c r="O11" s="29" t="str">
        <f t="shared" si="2"/>
        <v>D</v>
      </c>
      <c r="P11" s="30" t="str">
        <f t="shared" si="3"/>
        <v>Manejamos draw.io pero se puede hacer ahí y después, si queda tiempo, aprender los del A o B</v>
      </c>
      <c r="Q11" s="22" t="s">
        <v>60</v>
      </c>
      <c r="R11" s="22" t="s">
        <v>67</v>
      </c>
      <c r="S11" s="23"/>
      <c r="T11" s="28">
        <f t="shared" si="4"/>
        <v>1</v>
      </c>
      <c r="U11" s="28">
        <f t="shared" si="5"/>
        <v>0</v>
      </c>
      <c r="V11" s="28">
        <f t="shared" si="6"/>
        <v>0</v>
      </c>
      <c r="W11" s="28">
        <f t="shared" si="7"/>
        <v>2</v>
      </c>
    </row>
    <row r="12" ht="78.0" customHeight="1">
      <c r="A12" s="22">
        <v>5.0</v>
      </c>
      <c r="B12" s="23" t="s">
        <v>62</v>
      </c>
      <c r="C12" s="24" t="s">
        <v>85</v>
      </c>
      <c r="D12" s="23" t="s">
        <v>86</v>
      </c>
      <c r="E12" s="23" t="s">
        <v>87</v>
      </c>
      <c r="F12" s="23" t="s">
        <v>88</v>
      </c>
      <c r="G12" s="23"/>
      <c r="H12" s="25" t="s">
        <v>28</v>
      </c>
      <c r="I12" s="23" t="s">
        <v>89</v>
      </c>
      <c r="J12" s="26" t="s">
        <v>29</v>
      </c>
      <c r="K12" s="26" t="s">
        <v>29</v>
      </c>
      <c r="L12" s="27" t="s">
        <v>28</v>
      </c>
      <c r="M12" s="27"/>
      <c r="N12" s="28" t="str">
        <f t="shared" si="1"/>
        <v>3/4</v>
      </c>
      <c r="O12" s="29" t="str">
        <f t="shared" si="2"/>
        <v>B</v>
      </c>
      <c r="P12" s="30" t="str">
        <f t="shared" si="3"/>
        <v>Todos hacen de todo, en pares</v>
      </c>
      <c r="Q12" s="22" t="s">
        <v>60</v>
      </c>
      <c r="R12" s="22" t="s">
        <v>67</v>
      </c>
      <c r="S12" s="23"/>
      <c r="T12" s="28">
        <f t="shared" si="4"/>
        <v>1</v>
      </c>
      <c r="U12" s="28">
        <f t="shared" si="5"/>
        <v>2</v>
      </c>
      <c r="V12" s="28">
        <f t="shared" si="6"/>
        <v>0</v>
      </c>
      <c r="W12" s="28">
        <f t="shared" si="7"/>
        <v>0</v>
      </c>
    </row>
    <row r="13" ht="51.75" customHeight="1">
      <c r="A13" s="22">
        <v>6.0</v>
      </c>
      <c r="B13" s="23" t="s">
        <v>62</v>
      </c>
      <c r="C13" s="24" t="s">
        <v>90</v>
      </c>
      <c r="D13" s="23" t="s">
        <v>91</v>
      </c>
      <c r="E13" s="23" t="s">
        <v>92</v>
      </c>
      <c r="F13" s="23"/>
      <c r="G13" s="23"/>
      <c r="H13" s="25" t="s">
        <v>28</v>
      </c>
      <c r="I13" s="23" t="s">
        <v>93</v>
      </c>
      <c r="J13" s="26" t="s">
        <v>28</v>
      </c>
      <c r="K13" s="26" t="s">
        <v>28</v>
      </c>
      <c r="L13" s="27" t="s">
        <v>28</v>
      </c>
      <c r="M13" s="27"/>
      <c r="N13" s="28" t="str">
        <f t="shared" si="1"/>
        <v>3/4</v>
      </c>
      <c r="O13" s="29" t="str">
        <f t="shared" si="2"/>
        <v>A</v>
      </c>
      <c r="P13" s="30" t="str">
        <f t="shared" si="3"/>
        <v>Español para el dominio (inscripciones, turnos, tutores)</v>
      </c>
      <c r="Q13" s="22" t="s">
        <v>60</v>
      </c>
      <c r="R13" s="22" t="s">
        <v>67</v>
      </c>
      <c r="S13" s="23"/>
      <c r="T13" s="28">
        <f t="shared" si="4"/>
        <v>3</v>
      </c>
      <c r="U13" s="28">
        <f t="shared" si="5"/>
        <v>0</v>
      </c>
      <c r="V13" s="28">
        <f t="shared" si="6"/>
        <v>0</v>
      </c>
      <c r="W13" s="28">
        <f t="shared" si="7"/>
        <v>0</v>
      </c>
    </row>
    <row r="14" ht="103.5" customHeight="1">
      <c r="A14" s="22">
        <v>7.0</v>
      </c>
      <c r="B14" s="23" t="s">
        <v>94</v>
      </c>
      <c r="C14" s="24" t="s">
        <v>95</v>
      </c>
      <c r="D14" s="23" t="s">
        <v>96</v>
      </c>
      <c r="E14" s="23" t="s">
        <v>97</v>
      </c>
      <c r="F14" s="23" t="s">
        <v>98</v>
      </c>
      <c r="G14" s="23" t="s">
        <v>99</v>
      </c>
      <c r="H14" s="25" t="s">
        <v>29</v>
      </c>
      <c r="I14" s="23" t="s">
        <v>100</v>
      </c>
      <c r="J14" s="26" t="s">
        <v>29</v>
      </c>
      <c r="K14" s="26" t="s">
        <v>29</v>
      </c>
      <c r="L14" s="27" t="s">
        <v>29</v>
      </c>
      <c r="M14" s="27"/>
      <c r="N14" s="28" t="str">
        <f t="shared" si="1"/>
        <v>3/4</v>
      </c>
      <c r="O14" s="29" t="str">
        <f t="shared" si="2"/>
        <v>B</v>
      </c>
      <c r="P14" s="30" t="str">
        <f t="shared" si="3"/>
        <v>Monolito modular</v>
      </c>
      <c r="Q14" s="22" t="s">
        <v>101</v>
      </c>
      <c r="R14" s="22" t="s">
        <v>102</v>
      </c>
      <c r="S14" s="23"/>
      <c r="T14" s="28">
        <f t="shared" si="4"/>
        <v>0</v>
      </c>
      <c r="U14" s="28">
        <f t="shared" si="5"/>
        <v>3</v>
      </c>
      <c r="V14" s="28">
        <f t="shared" si="6"/>
        <v>0</v>
      </c>
      <c r="W14" s="28">
        <f t="shared" si="7"/>
        <v>0</v>
      </c>
    </row>
    <row r="15" ht="64.5" customHeight="1">
      <c r="A15" s="22">
        <v>8.0</v>
      </c>
      <c r="B15" s="23" t="s">
        <v>94</v>
      </c>
      <c r="C15" s="24" t="s">
        <v>103</v>
      </c>
      <c r="D15" s="23" t="s">
        <v>104</v>
      </c>
      <c r="E15" s="23" t="s">
        <v>105</v>
      </c>
      <c r="F15" s="23" t="s">
        <v>106</v>
      </c>
      <c r="G15" s="23"/>
      <c r="H15" s="25" t="s">
        <v>29</v>
      </c>
      <c r="I15" s="23" t="s">
        <v>107</v>
      </c>
      <c r="J15" s="26" t="s">
        <v>29</v>
      </c>
      <c r="K15" s="26" t="s">
        <v>29</v>
      </c>
      <c r="L15" s="26" t="s">
        <v>29</v>
      </c>
      <c r="M15" s="27"/>
      <c r="N15" s="28" t="str">
        <f t="shared" si="1"/>
        <v>3/4</v>
      </c>
      <c r="O15" s="29" t="str">
        <f t="shared" si="2"/>
        <v>B</v>
      </c>
      <c r="P15" s="30" t="str">
        <f t="shared" si="3"/>
        <v>Liviana: dominio sin dependencias + repositorios como interfaz</v>
      </c>
      <c r="Q15" s="22" t="s">
        <v>101</v>
      </c>
      <c r="R15" s="22" t="s">
        <v>102</v>
      </c>
      <c r="S15" s="23"/>
      <c r="T15" s="28">
        <f t="shared" si="4"/>
        <v>0</v>
      </c>
      <c r="U15" s="28">
        <f t="shared" si="5"/>
        <v>3</v>
      </c>
      <c r="V15" s="28">
        <f t="shared" si="6"/>
        <v>0</v>
      </c>
      <c r="W15" s="28">
        <f t="shared" si="7"/>
        <v>0</v>
      </c>
    </row>
    <row r="16" ht="78.0" customHeight="1">
      <c r="A16" s="22">
        <v>9.0</v>
      </c>
      <c r="B16" s="23" t="s">
        <v>94</v>
      </c>
      <c r="C16" s="24" t="s">
        <v>108</v>
      </c>
      <c r="D16" s="23" t="s">
        <v>109</v>
      </c>
      <c r="E16" s="23" t="s">
        <v>110</v>
      </c>
      <c r="F16" s="23" t="s">
        <v>111</v>
      </c>
      <c r="G16" s="23" t="s">
        <v>112</v>
      </c>
      <c r="H16" s="25"/>
      <c r="I16" s="23" t="s">
        <v>113</v>
      </c>
      <c r="J16" s="26" t="s">
        <v>29</v>
      </c>
      <c r="K16" s="26" t="s">
        <v>29</v>
      </c>
      <c r="L16" s="26" t="s">
        <v>29</v>
      </c>
      <c r="M16" s="27"/>
      <c r="N16" s="28" t="str">
        <f t="shared" si="1"/>
        <v>3/4</v>
      </c>
      <c r="O16" s="29" t="str">
        <f t="shared" si="2"/>
        <v>B</v>
      </c>
      <c r="P16" s="30" t="str">
        <f t="shared" si="3"/>
        <v>Python + FastAPI</v>
      </c>
      <c r="Q16" s="22" t="s">
        <v>101</v>
      </c>
      <c r="R16" s="22" t="s">
        <v>67</v>
      </c>
      <c r="S16" s="23"/>
      <c r="T16" s="28">
        <f t="shared" si="4"/>
        <v>0</v>
      </c>
      <c r="U16" s="28">
        <f t="shared" si="5"/>
        <v>3</v>
      </c>
      <c r="V16" s="28">
        <f t="shared" si="6"/>
        <v>0</v>
      </c>
      <c r="W16" s="28">
        <f t="shared" si="7"/>
        <v>0</v>
      </c>
    </row>
    <row r="17" ht="51.75" customHeight="1">
      <c r="A17" s="22">
        <v>10.0</v>
      </c>
      <c r="B17" s="23" t="s">
        <v>94</v>
      </c>
      <c r="C17" s="24" t="s">
        <v>114</v>
      </c>
      <c r="D17" s="23" t="s">
        <v>115</v>
      </c>
      <c r="E17" s="23" t="s">
        <v>116</v>
      </c>
      <c r="F17" s="23" t="s">
        <v>117</v>
      </c>
      <c r="G17" s="23" t="s">
        <v>118</v>
      </c>
      <c r="H17" s="25" t="s">
        <v>29</v>
      </c>
      <c r="I17" s="23" t="s">
        <v>119</v>
      </c>
      <c r="J17" s="26" t="s">
        <v>29</v>
      </c>
      <c r="K17" s="26" t="s">
        <v>29</v>
      </c>
      <c r="L17" s="26" t="s">
        <v>29</v>
      </c>
      <c r="M17" s="27"/>
      <c r="N17" s="28" t="str">
        <f t="shared" si="1"/>
        <v>3/4</v>
      </c>
      <c r="O17" s="29" t="str">
        <f t="shared" si="2"/>
        <v>B</v>
      </c>
      <c r="P17" s="30" t="str">
        <f t="shared" si="3"/>
        <v>SPA mínima servida como archivos estáticos por el mismo backend</v>
      </c>
      <c r="Q17" s="22" t="s">
        <v>101</v>
      </c>
      <c r="R17" s="22" t="s">
        <v>102</v>
      </c>
      <c r="S17" s="23"/>
      <c r="T17" s="28">
        <f t="shared" si="4"/>
        <v>0</v>
      </c>
      <c r="U17" s="28">
        <f t="shared" si="5"/>
        <v>3</v>
      </c>
      <c r="V17" s="28">
        <f t="shared" si="6"/>
        <v>0</v>
      </c>
      <c r="W17" s="28">
        <f t="shared" si="7"/>
        <v>0</v>
      </c>
    </row>
    <row r="18" ht="56.25" customHeight="1">
      <c r="A18" s="22">
        <v>11.0</v>
      </c>
      <c r="B18" s="23" t="s">
        <v>120</v>
      </c>
      <c r="C18" s="24" t="s">
        <v>121</v>
      </c>
      <c r="D18" s="23" t="s">
        <v>122</v>
      </c>
      <c r="E18" s="23" t="s">
        <v>123</v>
      </c>
      <c r="F18" s="23" t="s">
        <v>124</v>
      </c>
      <c r="G18" s="23" t="s">
        <v>125</v>
      </c>
      <c r="H18" s="25" t="s">
        <v>28</v>
      </c>
      <c r="I18" s="23" t="s">
        <v>126</v>
      </c>
      <c r="J18" s="26" t="s">
        <v>28</v>
      </c>
      <c r="K18" s="26" t="s">
        <v>28</v>
      </c>
      <c r="L18" s="26" t="s">
        <v>29</v>
      </c>
      <c r="M18" s="27"/>
      <c r="N18" s="28" t="str">
        <f t="shared" si="1"/>
        <v>3/4</v>
      </c>
      <c r="O18" s="29" t="str">
        <f t="shared" si="2"/>
        <v>A</v>
      </c>
      <c r="P18" s="30" t="str">
        <f t="shared" si="3"/>
        <v>PostgreSQL</v>
      </c>
      <c r="Q18" s="22" t="s">
        <v>101</v>
      </c>
      <c r="R18" s="22" t="s">
        <v>102</v>
      </c>
      <c r="S18" s="23"/>
      <c r="T18" s="28">
        <f t="shared" si="4"/>
        <v>2</v>
      </c>
      <c r="U18" s="28">
        <f t="shared" si="5"/>
        <v>1</v>
      </c>
      <c r="V18" s="28">
        <f t="shared" si="6"/>
        <v>0</v>
      </c>
      <c r="W18" s="28">
        <f t="shared" si="7"/>
        <v>0</v>
      </c>
    </row>
    <row r="19" ht="51.75" customHeight="1">
      <c r="A19" s="22">
        <v>12.0</v>
      </c>
      <c r="B19" s="23" t="s">
        <v>120</v>
      </c>
      <c r="C19" s="24" t="s">
        <v>127</v>
      </c>
      <c r="D19" s="23" t="s">
        <v>128</v>
      </c>
      <c r="E19" s="23" t="s">
        <v>129</v>
      </c>
      <c r="F19" s="23" t="s">
        <v>130</v>
      </c>
      <c r="G19" s="23"/>
      <c r="H19" s="25" t="s">
        <v>28</v>
      </c>
      <c r="I19" s="23" t="s">
        <v>131</v>
      </c>
      <c r="J19" s="26" t="s">
        <v>28</v>
      </c>
      <c r="K19" s="26" t="s">
        <v>28</v>
      </c>
      <c r="L19" s="26" t="s">
        <v>28</v>
      </c>
      <c r="M19" s="27"/>
      <c r="N19" s="28" t="str">
        <f t="shared" si="1"/>
        <v>3/4</v>
      </c>
      <c r="O19" s="29" t="str">
        <f t="shared" si="2"/>
        <v>A</v>
      </c>
      <c r="P19" s="30" t="str">
        <f t="shared" si="3"/>
        <v>ORM con repositorios</v>
      </c>
      <c r="Q19" s="22" t="s">
        <v>60</v>
      </c>
      <c r="R19" s="22" t="s">
        <v>102</v>
      </c>
      <c r="S19" s="23"/>
      <c r="T19" s="28">
        <f t="shared" si="4"/>
        <v>3</v>
      </c>
      <c r="U19" s="28">
        <f t="shared" si="5"/>
        <v>0</v>
      </c>
      <c r="V19" s="28">
        <f t="shared" si="6"/>
        <v>0</v>
      </c>
      <c r="W19" s="28">
        <f t="shared" si="7"/>
        <v>0</v>
      </c>
    </row>
    <row r="20" ht="51.75" customHeight="1">
      <c r="A20" s="22">
        <v>13.0</v>
      </c>
      <c r="B20" s="23" t="s">
        <v>120</v>
      </c>
      <c r="C20" s="24" t="s">
        <v>132</v>
      </c>
      <c r="D20" s="23" t="s">
        <v>133</v>
      </c>
      <c r="E20" s="23" t="s">
        <v>134</v>
      </c>
      <c r="F20" s="23" t="s">
        <v>135</v>
      </c>
      <c r="G20" s="23"/>
      <c r="H20" s="25" t="s">
        <v>28</v>
      </c>
      <c r="I20" s="23" t="s">
        <v>136</v>
      </c>
      <c r="J20" s="26" t="s">
        <v>28</v>
      </c>
      <c r="K20" s="26" t="s">
        <v>28</v>
      </c>
      <c r="L20" s="26" t="s">
        <v>28</v>
      </c>
      <c r="M20" s="27"/>
      <c r="N20" s="28" t="str">
        <f t="shared" si="1"/>
        <v>3/4</v>
      </c>
      <c r="O20" s="29" t="str">
        <f t="shared" si="2"/>
        <v>A</v>
      </c>
      <c r="P20" s="30" t="str">
        <f t="shared" si="3"/>
        <v>Migraciones versionadas que corren solas al iniciar</v>
      </c>
      <c r="Q20" s="22" t="s">
        <v>101</v>
      </c>
      <c r="R20" s="22" t="s">
        <v>102</v>
      </c>
      <c r="S20" s="23"/>
      <c r="T20" s="28">
        <f t="shared" si="4"/>
        <v>3</v>
      </c>
      <c r="U20" s="28">
        <f t="shared" si="5"/>
        <v>0</v>
      </c>
      <c r="V20" s="28">
        <f t="shared" si="6"/>
        <v>0</v>
      </c>
      <c r="W20" s="28">
        <f t="shared" si="7"/>
        <v>0</v>
      </c>
    </row>
    <row r="21" ht="51.75" customHeight="1">
      <c r="A21" s="22">
        <v>14.0</v>
      </c>
      <c r="B21" s="23" t="s">
        <v>120</v>
      </c>
      <c r="C21" s="24" t="s">
        <v>137</v>
      </c>
      <c r="D21" s="23" t="s">
        <v>138</v>
      </c>
      <c r="E21" s="23" t="s">
        <v>139</v>
      </c>
      <c r="F21" s="23"/>
      <c r="G21" s="23"/>
      <c r="H21" s="25" t="s">
        <v>28</v>
      </c>
      <c r="I21" s="23" t="s">
        <v>140</v>
      </c>
      <c r="J21" s="26" t="s">
        <v>28</v>
      </c>
      <c r="K21" s="26" t="s">
        <v>28</v>
      </c>
      <c r="L21" s="26" t="s">
        <v>28</v>
      </c>
      <c r="M21" s="27"/>
      <c r="N21" s="28" t="str">
        <f t="shared" si="1"/>
        <v>3/4</v>
      </c>
      <c r="O21" s="29" t="str">
        <f t="shared" si="2"/>
        <v>A</v>
      </c>
      <c r="P21" s="30" t="str">
        <f t="shared" si="3"/>
        <v>Restricción UNIQUE en la base (DNI del chico + temporada) además de la validación en el dominio</v>
      </c>
      <c r="Q21" s="22" t="s">
        <v>60</v>
      </c>
      <c r="R21" s="22" t="s">
        <v>102</v>
      </c>
      <c r="S21" s="23"/>
      <c r="T21" s="28">
        <f t="shared" si="4"/>
        <v>3</v>
      </c>
      <c r="U21" s="28">
        <f t="shared" si="5"/>
        <v>0</v>
      </c>
      <c r="V21" s="28">
        <f t="shared" si="6"/>
        <v>0</v>
      </c>
      <c r="W21" s="28">
        <f t="shared" si="7"/>
        <v>0</v>
      </c>
    </row>
    <row r="22" ht="51.75" customHeight="1">
      <c r="A22" s="22">
        <v>15.0</v>
      </c>
      <c r="B22" s="23" t="s">
        <v>120</v>
      </c>
      <c r="C22" s="24" t="s">
        <v>141</v>
      </c>
      <c r="D22" s="23" t="s">
        <v>142</v>
      </c>
      <c r="E22" s="23" t="s">
        <v>143</v>
      </c>
      <c r="F22" s="23" t="s">
        <v>144</v>
      </c>
      <c r="G22" s="23"/>
      <c r="H22" s="25" t="s">
        <v>28</v>
      </c>
      <c r="I22" s="23" t="s">
        <v>145</v>
      </c>
      <c r="J22" s="26" t="s">
        <v>28</v>
      </c>
      <c r="K22" s="26" t="s">
        <v>28</v>
      </c>
      <c r="L22" s="26" t="s">
        <v>28</v>
      </c>
      <c r="M22" s="27"/>
      <c r="N22" s="28" t="str">
        <f t="shared" si="1"/>
        <v>3/4</v>
      </c>
      <c r="O22" s="29" t="str">
        <f t="shared" si="2"/>
        <v>A</v>
      </c>
      <c r="P22" s="30" t="str">
        <f t="shared" si="3"/>
        <v>Transacción con bloqueo de la fila del turno</v>
      </c>
      <c r="Q22" s="22" t="s">
        <v>101</v>
      </c>
      <c r="R22" s="22" t="s">
        <v>102</v>
      </c>
      <c r="S22" s="23"/>
      <c r="T22" s="28">
        <f t="shared" si="4"/>
        <v>3</v>
      </c>
      <c r="U22" s="28">
        <f t="shared" si="5"/>
        <v>0</v>
      </c>
      <c r="V22" s="28">
        <f t="shared" si="6"/>
        <v>0</v>
      </c>
      <c r="W22" s="28">
        <f t="shared" si="7"/>
        <v>0</v>
      </c>
    </row>
    <row r="23" ht="51.75" customHeight="1">
      <c r="A23" s="22">
        <v>16.0</v>
      </c>
      <c r="B23" s="23" t="s">
        <v>120</v>
      </c>
      <c r="C23" s="24" t="s">
        <v>146</v>
      </c>
      <c r="D23" s="23" t="s">
        <v>147</v>
      </c>
      <c r="E23" s="23" t="s">
        <v>148</v>
      </c>
      <c r="F23" s="23" t="s">
        <v>149</v>
      </c>
      <c r="G23" s="23"/>
      <c r="H23" s="25" t="s">
        <v>29</v>
      </c>
      <c r="I23" s="23" t="s">
        <v>150</v>
      </c>
      <c r="J23" s="26" t="s">
        <v>30</v>
      </c>
      <c r="K23" s="26" t="s">
        <v>30</v>
      </c>
      <c r="L23" s="26" t="s">
        <v>29</v>
      </c>
      <c r="M23" s="27"/>
      <c r="N23" s="28" t="str">
        <f t="shared" si="1"/>
        <v>3/4</v>
      </c>
      <c r="O23" s="29" t="str">
        <f t="shared" si="2"/>
        <v>C</v>
      </c>
      <c r="P23" s="30" t="str">
        <f t="shared" si="3"/>
        <v>Lista de espera implementada</v>
      </c>
      <c r="Q23" s="22" t="s">
        <v>60</v>
      </c>
      <c r="R23" s="22" t="s">
        <v>102</v>
      </c>
      <c r="S23" s="23"/>
      <c r="T23" s="28">
        <f t="shared" si="4"/>
        <v>0</v>
      </c>
      <c r="U23" s="28">
        <f t="shared" si="5"/>
        <v>1</v>
      </c>
      <c r="V23" s="28">
        <f t="shared" si="6"/>
        <v>2</v>
      </c>
      <c r="W23" s="28">
        <f t="shared" si="7"/>
        <v>0</v>
      </c>
    </row>
    <row r="24" ht="103.5" customHeight="1">
      <c r="A24" s="22">
        <v>17.0</v>
      </c>
      <c r="B24" s="23" t="s">
        <v>151</v>
      </c>
      <c r="C24" s="24" t="s">
        <v>152</v>
      </c>
      <c r="D24" s="23" t="s">
        <v>153</v>
      </c>
      <c r="E24" s="23" t="s">
        <v>154</v>
      </c>
      <c r="F24" s="23" t="s">
        <v>155</v>
      </c>
      <c r="G24" s="23" t="s">
        <v>156</v>
      </c>
      <c r="H24" s="25" t="s">
        <v>28</v>
      </c>
      <c r="I24" s="23" t="s">
        <v>157</v>
      </c>
      <c r="J24" s="27"/>
      <c r="K24" s="27"/>
      <c r="L24" s="26" t="s">
        <v>28</v>
      </c>
      <c r="M24" s="27"/>
      <c r="N24" s="28" t="str">
        <f t="shared" si="1"/>
        <v>1/4</v>
      </c>
      <c r="O24" s="29" t="str">
        <f t="shared" si="2"/>
        <v>A</v>
      </c>
      <c r="P24" s="30" t="str">
        <f t="shared" si="3"/>
        <v>Keycloak</v>
      </c>
      <c r="Q24" s="22" t="s">
        <v>101</v>
      </c>
      <c r="R24" s="22" t="s">
        <v>102</v>
      </c>
      <c r="S24" s="31" t="s">
        <v>158</v>
      </c>
      <c r="T24" s="28">
        <f t="shared" si="4"/>
        <v>1</v>
      </c>
      <c r="U24" s="28">
        <f t="shared" si="5"/>
        <v>0</v>
      </c>
      <c r="V24" s="28">
        <f t="shared" si="6"/>
        <v>0</v>
      </c>
      <c r="W24" s="28">
        <f t="shared" si="7"/>
        <v>0</v>
      </c>
    </row>
    <row r="25" ht="39.75" customHeight="1">
      <c r="A25" s="22">
        <v>18.0</v>
      </c>
      <c r="B25" s="23" t="s">
        <v>151</v>
      </c>
      <c r="C25" s="24" t="s">
        <v>159</v>
      </c>
      <c r="D25" s="23" t="s">
        <v>160</v>
      </c>
      <c r="E25" s="23" t="s">
        <v>161</v>
      </c>
      <c r="F25" s="23"/>
      <c r="G25" s="23"/>
      <c r="H25" s="25" t="s">
        <v>28</v>
      </c>
      <c r="I25" s="23" t="s">
        <v>162</v>
      </c>
      <c r="J25" s="27"/>
      <c r="K25" s="27"/>
      <c r="L25" s="26" t="s">
        <v>28</v>
      </c>
      <c r="M25" s="27"/>
      <c r="N25" s="28" t="str">
        <f t="shared" si="1"/>
        <v>1/4</v>
      </c>
      <c r="O25" s="29" t="str">
        <f t="shared" si="2"/>
        <v>A</v>
      </c>
      <c r="P25" s="30" t="str">
        <f t="shared" si="3"/>
        <v>Authorization Code + PKCE en el cliente; la API valida el token</v>
      </c>
      <c r="Q25" s="22" t="s">
        <v>60</v>
      </c>
      <c r="R25" s="22" t="s">
        <v>163</v>
      </c>
      <c r="S25" s="31" t="s">
        <v>158</v>
      </c>
      <c r="T25" s="28">
        <f t="shared" si="4"/>
        <v>1</v>
      </c>
      <c r="U25" s="28">
        <f t="shared" si="5"/>
        <v>0</v>
      </c>
      <c r="V25" s="28">
        <f t="shared" si="6"/>
        <v>0</v>
      </c>
      <c r="W25" s="28">
        <f t="shared" si="7"/>
        <v>0</v>
      </c>
    </row>
    <row r="26" ht="39.75" customHeight="1">
      <c r="A26" s="22">
        <v>19.0</v>
      </c>
      <c r="B26" s="23" t="s">
        <v>151</v>
      </c>
      <c r="C26" s="24" t="s">
        <v>164</v>
      </c>
      <c r="D26" s="23" t="s">
        <v>165</v>
      </c>
      <c r="E26" s="23" t="s">
        <v>166</v>
      </c>
      <c r="F26" s="23"/>
      <c r="G26" s="23"/>
      <c r="H26" s="25" t="s">
        <v>28</v>
      </c>
      <c r="I26" s="23" t="s">
        <v>167</v>
      </c>
      <c r="J26" s="26" t="s">
        <v>29</v>
      </c>
      <c r="K26" s="26" t="s">
        <v>29</v>
      </c>
      <c r="L26" s="26" t="s">
        <v>28</v>
      </c>
      <c r="M26" s="27"/>
      <c r="N26" s="28" t="str">
        <f t="shared" si="1"/>
        <v>3/4</v>
      </c>
      <c r="O26" s="29" t="str">
        <f t="shared" si="2"/>
        <v>B</v>
      </c>
      <c r="P26" s="30" t="str">
        <f t="shared" si="3"/>
        <v>Tutor, administrativo y administrador de sistema</v>
      </c>
      <c r="Q26" s="22" t="s">
        <v>60</v>
      </c>
      <c r="R26" s="22" t="s">
        <v>102</v>
      </c>
      <c r="S26" s="23"/>
      <c r="T26" s="28">
        <f t="shared" si="4"/>
        <v>1</v>
      </c>
      <c r="U26" s="28">
        <f t="shared" si="5"/>
        <v>2</v>
      </c>
      <c r="V26" s="28">
        <f t="shared" si="6"/>
        <v>0</v>
      </c>
      <c r="W26" s="28">
        <f t="shared" si="7"/>
        <v>0</v>
      </c>
    </row>
    <row r="27" ht="51.75" customHeight="1">
      <c r="A27" s="22">
        <v>20.0</v>
      </c>
      <c r="B27" s="23" t="s">
        <v>168</v>
      </c>
      <c r="C27" s="24" t="s">
        <v>169</v>
      </c>
      <c r="D27" s="23" t="s">
        <v>170</v>
      </c>
      <c r="E27" s="23" t="s">
        <v>171</v>
      </c>
      <c r="F27" s="23" t="s">
        <v>172</v>
      </c>
      <c r="G27" s="23" t="s">
        <v>173</v>
      </c>
      <c r="H27" s="25" t="s">
        <v>28</v>
      </c>
      <c r="I27" s="23" t="s">
        <v>174</v>
      </c>
      <c r="J27" s="26" t="s">
        <v>28</v>
      </c>
      <c r="K27" s="26" t="s">
        <v>28</v>
      </c>
      <c r="L27" s="26" t="s">
        <v>28</v>
      </c>
      <c r="M27" s="27"/>
      <c r="N27" s="28" t="str">
        <f t="shared" si="1"/>
        <v>3/4</v>
      </c>
      <c r="O27" s="29" t="str">
        <f t="shared" si="2"/>
        <v>A</v>
      </c>
      <c r="P27" s="30" t="str">
        <f t="shared" si="3"/>
        <v>WireMock (respuestas definidas en archivos)</v>
      </c>
      <c r="Q27" s="22" t="s">
        <v>60</v>
      </c>
      <c r="R27" s="22" t="s">
        <v>102</v>
      </c>
      <c r="S27" s="23"/>
      <c r="T27" s="28">
        <f t="shared" si="4"/>
        <v>3</v>
      </c>
      <c r="U27" s="28">
        <f t="shared" si="5"/>
        <v>0</v>
      </c>
      <c r="V27" s="28">
        <f t="shared" si="6"/>
        <v>0</v>
      </c>
      <c r="W27" s="28">
        <f t="shared" si="7"/>
        <v>0</v>
      </c>
    </row>
    <row r="28" ht="64.5" customHeight="1">
      <c r="A28" s="22">
        <v>21.0</v>
      </c>
      <c r="B28" s="23" t="s">
        <v>168</v>
      </c>
      <c r="C28" s="24" t="s">
        <v>175</v>
      </c>
      <c r="D28" s="23" t="s">
        <v>176</v>
      </c>
      <c r="E28" s="23" t="s">
        <v>177</v>
      </c>
      <c r="F28" s="23" t="s">
        <v>178</v>
      </c>
      <c r="G28" s="23"/>
      <c r="H28" s="25" t="s">
        <v>28</v>
      </c>
      <c r="I28" s="23" t="s">
        <v>179</v>
      </c>
      <c r="J28" s="26" t="s">
        <v>28</v>
      </c>
      <c r="K28" s="26" t="s">
        <v>28</v>
      </c>
      <c r="L28" s="26" t="s">
        <v>28</v>
      </c>
      <c r="M28" s="27"/>
      <c r="N28" s="28" t="str">
        <f t="shared" si="1"/>
        <v>3/4</v>
      </c>
      <c r="O28" s="29" t="str">
        <f t="shared" si="2"/>
        <v>A</v>
      </c>
      <c r="P28" s="30" t="str">
        <f t="shared" si="3"/>
        <v>Llamada REST sincrónica con timeout, detrás de una capa de traducción (ACL)</v>
      </c>
      <c r="Q28" s="22" t="s">
        <v>101</v>
      </c>
      <c r="R28" s="22" t="s">
        <v>102</v>
      </c>
      <c r="S28" s="23"/>
      <c r="T28" s="28">
        <f t="shared" si="4"/>
        <v>3</v>
      </c>
      <c r="U28" s="28">
        <f t="shared" si="5"/>
        <v>0</v>
      </c>
      <c r="V28" s="28">
        <f t="shared" si="6"/>
        <v>0</v>
      </c>
      <c r="W28" s="28">
        <f t="shared" si="7"/>
        <v>0</v>
      </c>
    </row>
    <row r="29" ht="64.5" customHeight="1">
      <c r="A29" s="22">
        <v>22.0</v>
      </c>
      <c r="B29" s="23" t="s">
        <v>168</v>
      </c>
      <c r="C29" s="24" t="s">
        <v>180</v>
      </c>
      <c r="D29" s="23" t="s">
        <v>181</v>
      </c>
      <c r="E29" s="23" t="s">
        <v>182</v>
      </c>
      <c r="F29" s="23" t="s">
        <v>183</v>
      </c>
      <c r="G29" s="23"/>
      <c r="H29" s="25" t="s">
        <v>28</v>
      </c>
      <c r="I29" s="23" t="s">
        <v>184</v>
      </c>
      <c r="J29" s="26" t="s">
        <v>28</v>
      </c>
      <c r="K29" s="26" t="s">
        <v>28</v>
      </c>
      <c r="L29" s="26" t="s">
        <v>28</v>
      </c>
      <c r="M29" s="27"/>
      <c r="N29" s="28" t="str">
        <f t="shared" si="1"/>
        <v>3/4</v>
      </c>
      <c r="O29" s="29" t="str">
        <f t="shared" si="2"/>
        <v>A</v>
      </c>
      <c r="P29" s="30" t="str">
        <f t="shared" si="3"/>
        <v>Se rechaza con 503 y se reintenta más tarde</v>
      </c>
      <c r="Q29" s="22" t="s">
        <v>60</v>
      </c>
      <c r="R29" s="22" t="s">
        <v>185</v>
      </c>
      <c r="S29" s="23"/>
      <c r="T29" s="28">
        <f t="shared" si="4"/>
        <v>3</v>
      </c>
      <c r="U29" s="28">
        <f t="shared" si="5"/>
        <v>0</v>
      </c>
      <c r="V29" s="28">
        <f t="shared" si="6"/>
        <v>0</v>
      </c>
      <c r="W29" s="28">
        <f t="shared" si="7"/>
        <v>0</v>
      </c>
    </row>
    <row r="30" ht="39.75" customHeight="1">
      <c r="A30" s="22">
        <v>23.0</v>
      </c>
      <c r="B30" s="23" t="s">
        <v>186</v>
      </c>
      <c r="C30" s="24" t="s">
        <v>187</v>
      </c>
      <c r="D30" s="23" t="s">
        <v>188</v>
      </c>
      <c r="E30" s="23" t="s">
        <v>189</v>
      </c>
      <c r="F30" s="23" t="s">
        <v>190</v>
      </c>
      <c r="G30" s="23"/>
      <c r="H30" s="25" t="s">
        <v>28</v>
      </c>
      <c r="I30" s="23" t="s">
        <v>191</v>
      </c>
      <c r="J30" s="26" t="s">
        <v>28</v>
      </c>
      <c r="K30" s="26" t="s">
        <v>29</v>
      </c>
      <c r="L30" s="26" t="s">
        <v>28</v>
      </c>
      <c r="M30" s="27"/>
      <c r="N30" s="28" t="str">
        <f t="shared" si="1"/>
        <v>3/4</v>
      </c>
      <c r="O30" s="29" t="str">
        <f t="shared" si="2"/>
        <v>A</v>
      </c>
      <c r="P30" s="30" t="str">
        <f t="shared" si="3"/>
        <v>En la URI (/v1/...)</v>
      </c>
      <c r="Q30" s="22" t="s">
        <v>101</v>
      </c>
      <c r="R30" s="22" t="s">
        <v>102</v>
      </c>
      <c r="S30" s="23"/>
      <c r="T30" s="28">
        <f t="shared" si="4"/>
        <v>2</v>
      </c>
      <c r="U30" s="28">
        <f t="shared" si="5"/>
        <v>1</v>
      </c>
      <c r="V30" s="28">
        <f t="shared" si="6"/>
        <v>0</v>
      </c>
      <c r="W30" s="28">
        <f t="shared" si="7"/>
        <v>0</v>
      </c>
    </row>
    <row r="31" ht="64.5" customHeight="1">
      <c r="A31" s="22">
        <v>24.0</v>
      </c>
      <c r="B31" s="23" t="s">
        <v>186</v>
      </c>
      <c r="C31" s="24" t="s">
        <v>192</v>
      </c>
      <c r="D31" s="23" t="s">
        <v>193</v>
      </c>
      <c r="E31" s="23" t="s">
        <v>194</v>
      </c>
      <c r="F31" s="23"/>
      <c r="G31" s="23"/>
      <c r="H31" s="25" t="s">
        <v>28</v>
      </c>
      <c r="I31" s="23" t="s">
        <v>195</v>
      </c>
      <c r="J31" s="26" t="s">
        <v>28</v>
      </c>
      <c r="K31" s="26" t="s">
        <v>28</v>
      </c>
      <c r="L31" s="26" t="s">
        <v>28</v>
      </c>
      <c r="M31" s="27"/>
      <c r="N31" s="28" t="str">
        <f t="shared" si="1"/>
        <v>3/4</v>
      </c>
      <c r="O31" s="29" t="str">
        <f t="shared" si="2"/>
        <v>A</v>
      </c>
      <c r="P31" s="30" t="str">
        <f t="shared" si="3"/>
        <v>Code-first: se genera desde el código</v>
      </c>
      <c r="Q31" s="22" t="s">
        <v>60</v>
      </c>
      <c r="R31" s="22" t="s">
        <v>102</v>
      </c>
      <c r="S31" s="23"/>
      <c r="T31" s="28">
        <f t="shared" si="4"/>
        <v>3</v>
      </c>
      <c r="U31" s="28">
        <f t="shared" si="5"/>
        <v>0</v>
      </c>
      <c r="V31" s="28">
        <f t="shared" si="6"/>
        <v>0</v>
      </c>
      <c r="W31" s="28">
        <f t="shared" si="7"/>
        <v>0</v>
      </c>
    </row>
    <row r="32" ht="64.5" customHeight="1">
      <c r="A32" s="22">
        <v>25.0</v>
      </c>
      <c r="B32" s="23" t="s">
        <v>186</v>
      </c>
      <c r="C32" s="24" t="s">
        <v>196</v>
      </c>
      <c r="D32" s="23" t="s">
        <v>197</v>
      </c>
      <c r="E32" s="23" t="s">
        <v>198</v>
      </c>
      <c r="F32" s="23" t="s">
        <v>199</v>
      </c>
      <c r="G32" s="23"/>
      <c r="H32" s="25" t="s">
        <v>29</v>
      </c>
      <c r="I32" s="23" t="s">
        <v>200</v>
      </c>
      <c r="J32" s="26" t="s">
        <v>29</v>
      </c>
      <c r="K32" s="26" t="s">
        <v>29</v>
      </c>
      <c r="L32" s="26" t="s">
        <v>29</v>
      </c>
      <c r="M32" s="27"/>
      <c r="N32" s="28" t="str">
        <f t="shared" si="1"/>
        <v>3/4</v>
      </c>
      <c r="O32" s="29" t="str">
        <f t="shared" si="2"/>
        <v>B</v>
      </c>
      <c r="P32" s="30" t="str">
        <f t="shared" si="3"/>
        <v>Idempotencia natural: la restricción UNIQUE hace que repetir no duplique</v>
      </c>
      <c r="Q32" s="22" t="s">
        <v>60</v>
      </c>
      <c r="R32" s="22" t="s">
        <v>102</v>
      </c>
      <c r="S32" s="23"/>
      <c r="T32" s="28">
        <f t="shared" si="4"/>
        <v>0</v>
      </c>
      <c r="U32" s="28">
        <f t="shared" si="5"/>
        <v>3</v>
      </c>
      <c r="V32" s="28">
        <f t="shared" si="6"/>
        <v>0</v>
      </c>
      <c r="W32" s="28">
        <f t="shared" si="7"/>
        <v>0</v>
      </c>
    </row>
    <row r="33" ht="39.75" customHeight="1">
      <c r="A33" s="22">
        <v>26.0</v>
      </c>
      <c r="B33" s="23" t="s">
        <v>201</v>
      </c>
      <c r="C33" s="24" t="s">
        <v>202</v>
      </c>
      <c r="D33" s="23" t="s">
        <v>203</v>
      </c>
      <c r="E33" s="23" t="s">
        <v>204</v>
      </c>
      <c r="F33" s="23"/>
      <c r="G33" s="23"/>
      <c r="H33" s="25" t="s">
        <v>28</v>
      </c>
      <c r="I33" s="23" t="s">
        <v>205</v>
      </c>
      <c r="J33" s="26" t="s">
        <v>28</v>
      </c>
      <c r="K33" s="26" t="s">
        <v>28</v>
      </c>
      <c r="L33" s="26" t="s">
        <v>28</v>
      </c>
      <c r="M33" s="27"/>
      <c r="N33" s="28" t="str">
        <f t="shared" si="1"/>
        <v>3/4</v>
      </c>
      <c r="O33" s="29" t="str">
        <f t="shared" si="2"/>
        <v>A</v>
      </c>
      <c r="P33" s="30" t="str">
        <f t="shared" si="3"/>
        <v>docker compose (compatible con podman compose)</v>
      </c>
      <c r="Q33" s="22" t="s">
        <v>60</v>
      </c>
      <c r="R33" s="22" t="s">
        <v>67</v>
      </c>
      <c r="S33" s="23"/>
      <c r="T33" s="28">
        <f t="shared" si="4"/>
        <v>3</v>
      </c>
      <c r="U33" s="28">
        <f t="shared" si="5"/>
        <v>0</v>
      </c>
      <c r="V33" s="28">
        <f t="shared" si="6"/>
        <v>0</v>
      </c>
      <c r="W33" s="28">
        <f t="shared" si="7"/>
        <v>0</v>
      </c>
    </row>
    <row r="34" ht="39.75" customHeight="1">
      <c r="A34" s="22">
        <v>27.0</v>
      </c>
      <c r="B34" s="23" t="s">
        <v>201</v>
      </c>
      <c r="C34" s="24" t="s">
        <v>206</v>
      </c>
      <c r="D34" s="23" t="s">
        <v>207</v>
      </c>
      <c r="E34" s="23" t="s">
        <v>208</v>
      </c>
      <c r="F34" s="23"/>
      <c r="G34" s="23"/>
      <c r="H34" s="25" t="s">
        <v>28</v>
      </c>
      <c r="I34" s="23" t="s">
        <v>209</v>
      </c>
      <c r="J34" s="26" t="s">
        <v>28</v>
      </c>
      <c r="K34" s="26" t="s">
        <v>28</v>
      </c>
      <c r="L34" s="26" t="s">
        <v>28</v>
      </c>
      <c r="M34" s="27"/>
      <c r="N34" s="28" t="str">
        <f t="shared" si="1"/>
        <v>3/4</v>
      </c>
      <c r="O34" s="29" t="str">
        <f t="shared" si="2"/>
        <v>A</v>
      </c>
      <c r="P34" s="30" t="str">
        <f t="shared" si="3"/>
        <v>Fijadas a una versión exacta</v>
      </c>
      <c r="Q34" s="22" t="s">
        <v>60</v>
      </c>
      <c r="R34" s="22" t="s">
        <v>102</v>
      </c>
      <c r="S34" s="23"/>
      <c r="T34" s="28">
        <f t="shared" si="4"/>
        <v>3</v>
      </c>
      <c r="U34" s="28">
        <f t="shared" si="5"/>
        <v>0</v>
      </c>
      <c r="V34" s="28">
        <f t="shared" si="6"/>
        <v>0</v>
      </c>
      <c r="W34" s="28">
        <f t="shared" si="7"/>
        <v>0</v>
      </c>
    </row>
    <row r="35" ht="39.75" customHeight="1">
      <c r="A35" s="22">
        <v>28.0</v>
      </c>
      <c r="B35" s="23" t="s">
        <v>201</v>
      </c>
      <c r="C35" s="24" t="s">
        <v>210</v>
      </c>
      <c r="D35" s="23" t="s">
        <v>211</v>
      </c>
      <c r="E35" s="23" t="s">
        <v>212</v>
      </c>
      <c r="F35" s="23"/>
      <c r="G35" s="23"/>
      <c r="H35" s="25" t="s">
        <v>28</v>
      </c>
      <c r="I35" s="23" t="s">
        <v>213</v>
      </c>
      <c r="J35" s="26" t="s">
        <v>28</v>
      </c>
      <c r="K35" s="26" t="s">
        <v>28</v>
      </c>
      <c r="L35" s="26" t="s">
        <v>28</v>
      </c>
      <c r="M35" s="27"/>
      <c r="N35" s="28" t="str">
        <f t="shared" si="1"/>
        <v>3/4</v>
      </c>
      <c r="O35" s="29" t="str">
        <f t="shared" si="2"/>
        <v>A</v>
      </c>
      <c r="P35" s="30" t="str">
        <f t="shared" si="3"/>
        <v>.env.example en el repo y .env local sin subir</v>
      </c>
      <c r="Q35" s="22" t="s">
        <v>60</v>
      </c>
      <c r="R35" s="22" t="s">
        <v>102</v>
      </c>
      <c r="S35" s="23"/>
      <c r="T35" s="28">
        <f t="shared" si="4"/>
        <v>3</v>
      </c>
      <c r="U35" s="28">
        <f t="shared" si="5"/>
        <v>0</v>
      </c>
      <c r="V35" s="28">
        <f t="shared" si="6"/>
        <v>0</v>
      </c>
      <c r="W35" s="28">
        <f t="shared" si="7"/>
        <v>0</v>
      </c>
    </row>
    <row r="36" ht="39.75" customHeight="1">
      <c r="A36" s="22">
        <v>29.0</v>
      </c>
      <c r="B36" s="23" t="s">
        <v>201</v>
      </c>
      <c r="C36" s="24" t="s">
        <v>214</v>
      </c>
      <c r="D36" s="23" t="s">
        <v>215</v>
      </c>
      <c r="E36" s="23" t="s">
        <v>216</v>
      </c>
      <c r="F36" s="23"/>
      <c r="G36" s="23"/>
      <c r="H36" s="25" t="s">
        <v>28</v>
      </c>
      <c r="I36" s="23" t="s">
        <v>217</v>
      </c>
      <c r="J36" s="26" t="s">
        <v>28</v>
      </c>
      <c r="K36" s="26" t="s">
        <v>28</v>
      </c>
      <c r="L36" s="26" t="s">
        <v>28</v>
      </c>
      <c r="M36" s="27"/>
      <c r="N36" s="28" t="str">
        <f t="shared" si="1"/>
        <v>3/4</v>
      </c>
      <c r="O36" s="29" t="str">
        <f t="shared" si="2"/>
        <v>A</v>
      </c>
      <c r="P36" s="30" t="str">
        <f t="shared" si="3"/>
        <v>Se cargan solos al levantar (turnos, usuarios y roles)</v>
      </c>
      <c r="Q36" s="22" t="s">
        <v>60</v>
      </c>
      <c r="R36" s="22" t="s">
        <v>163</v>
      </c>
      <c r="S36" s="23"/>
      <c r="T36" s="28">
        <f t="shared" si="4"/>
        <v>3</v>
      </c>
      <c r="U36" s="28">
        <f t="shared" si="5"/>
        <v>0</v>
      </c>
      <c r="V36" s="28">
        <f t="shared" si="6"/>
        <v>0</v>
      </c>
      <c r="W36" s="28">
        <f t="shared" si="7"/>
        <v>0</v>
      </c>
    </row>
    <row r="37" ht="39.75" customHeight="1">
      <c r="A37" s="22">
        <v>30.0</v>
      </c>
      <c r="B37" s="23" t="s">
        <v>201</v>
      </c>
      <c r="C37" s="24" t="s">
        <v>218</v>
      </c>
      <c r="D37" s="23" t="s">
        <v>219</v>
      </c>
      <c r="E37" s="23" t="s">
        <v>220</v>
      </c>
      <c r="F37" s="23"/>
      <c r="G37" s="31" t="s">
        <v>221</v>
      </c>
      <c r="H37" s="25" t="s">
        <v>28</v>
      </c>
      <c r="I37" s="23" t="s">
        <v>222</v>
      </c>
      <c r="J37" s="26" t="s">
        <v>32</v>
      </c>
      <c r="K37" s="26" t="s">
        <v>32</v>
      </c>
      <c r="L37" s="26" t="s">
        <v>28</v>
      </c>
      <c r="M37" s="27"/>
      <c r="N37" s="28" t="str">
        <f t="shared" si="1"/>
        <v>3/4</v>
      </c>
      <c r="O37" s="29" t="str">
        <f t="shared" si="2"/>
        <v>D</v>
      </c>
      <c r="P37" s="30" t="str">
        <f t="shared" si="3"/>
        <v>Preguntar al docente</v>
      </c>
      <c r="Q37" s="22" t="s">
        <v>60</v>
      </c>
      <c r="R37" s="22" t="s">
        <v>185</v>
      </c>
      <c r="S37" s="23"/>
      <c r="T37" s="28">
        <f t="shared" si="4"/>
        <v>1</v>
      </c>
      <c r="U37" s="28">
        <f t="shared" si="5"/>
        <v>0</v>
      </c>
      <c r="V37" s="28">
        <f t="shared" si="6"/>
        <v>0</v>
      </c>
      <c r="W37" s="28">
        <f t="shared" si="7"/>
        <v>2</v>
      </c>
    </row>
    <row r="38" ht="51.75" customHeight="1">
      <c r="A38" s="22">
        <v>31.0</v>
      </c>
      <c r="B38" s="23" t="s">
        <v>223</v>
      </c>
      <c r="C38" s="24" t="s">
        <v>224</v>
      </c>
      <c r="D38" s="23" t="s">
        <v>225</v>
      </c>
      <c r="E38" s="23" t="s">
        <v>226</v>
      </c>
      <c r="F38" s="23" t="s">
        <v>227</v>
      </c>
      <c r="G38" s="23"/>
      <c r="H38" s="25" t="s">
        <v>28</v>
      </c>
      <c r="I38" s="23" t="s">
        <v>228</v>
      </c>
      <c r="J38" s="26" t="s">
        <v>28</v>
      </c>
      <c r="K38" s="26" t="s">
        <v>28</v>
      </c>
      <c r="L38" s="26" t="s">
        <v>28</v>
      </c>
      <c r="M38" s="27"/>
      <c r="N38" s="28" t="str">
        <f t="shared" si="1"/>
        <v>3/4</v>
      </c>
      <c r="O38" s="29" t="str">
        <f t="shared" si="2"/>
        <v>A</v>
      </c>
      <c r="P38" s="30" t="str">
        <f t="shared" si="3"/>
        <v>Tests del dominio + un test de integración del caso de uso</v>
      </c>
      <c r="Q38" s="22" t="s">
        <v>60</v>
      </c>
      <c r="R38" s="22" t="s">
        <v>185</v>
      </c>
      <c r="S38" s="23"/>
      <c r="T38" s="28">
        <f t="shared" si="4"/>
        <v>3</v>
      </c>
      <c r="U38" s="28">
        <f t="shared" si="5"/>
        <v>0</v>
      </c>
      <c r="V38" s="28">
        <f t="shared" si="6"/>
        <v>0</v>
      </c>
      <c r="W38" s="28">
        <f t="shared" si="7"/>
        <v>0</v>
      </c>
    </row>
    <row r="39" ht="78.0" customHeight="1">
      <c r="A39" s="22">
        <v>32.0</v>
      </c>
      <c r="B39" s="23" t="s">
        <v>223</v>
      </c>
      <c r="C39" s="24" t="s">
        <v>229</v>
      </c>
      <c r="D39" s="23" t="s">
        <v>230</v>
      </c>
      <c r="E39" s="23" t="s">
        <v>231</v>
      </c>
      <c r="F39" s="23"/>
      <c r="G39" s="23"/>
      <c r="H39" s="25" t="s">
        <v>28</v>
      </c>
      <c r="I39" s="23" t="s">
        <v>232</v>
      </c>
      <c r="J39" s="26" t="s">
        <v>28</v>
      </c>
      <c r="K39" s="26" t="s">
        <v>28</v>
      </c>
      <c r="L39" s="26" t="s">
        <v>28</v>
      </c>
      <c r="M39" s="27"/>
      <c r="N39" s="28" t="str">
        <f t="shared" si="1"/>
        <v>3/4</v>
      </c>
      <c r="O39" s="29" t="str">
        <f t="shared" si="2"/>
        <v>A</v>
      </c>
      <c r="P39" s="30" t="str">
        <f t="shared" si="3"/>
        <v>Con evidencia: levantar desde cero en una máquina limpia cronometrado, prueba de inscripciones simultáneas y consumo de memoria</v>
      </c>
      <c r="Q39" s="22" t="s">
        <v>60</v>
      </c>
      <c r="R39" s="22" t="s">
        <v>185</v>
      </c>
      <c r="S39" s="23"/>
      <c r="T39" s="28">
        <f t="shared" si="4"/>
        <v>3</v>
      </c>
      <c r="U39" s="28">
        <f t="shared" si="5"/>
        <v>0</v>
      </c>
      <c r="V39" s="28">
        <f t="shared" si="6"/>
        <v>0</v>
      </c>
      <c r="W39" s="28">
        <f t="shared" si="7"/>
        <v>0</v>
      </c>
    </row>
    <row r="40" ht="39.75" customHeight="1">
      <c r="A40" s="22">
        <v>33.0</v>
      </c>
      <c r="B40" s="23" t="s">
        <v>223</v>
      </c>
      <c r="C40" s="24" t="s">
        <v>233</v>
      </c>
      <c r="D40" s="23" t="s">
        <v>234</v>
      </c>
      <c r="E40" s="23" t="s">
        <v>235</v>
      </c>
      <c r="F40" s="23"/>
      <c r="G40" s="23"/>
      <c r="H40" s="25" t="s">
        <v>28</v>
      </c>
      <c r="I40" s="23" t="s">
        <v>236</v>
      </c>
      <c r="J40" s="26" t="s">
        <v>29</v>
      </c>
      <c r="K40" s="26" t="s">
        <v>29</v>
      </c>
      <c r="L40" s="26" t="s">
        <v>29</v>
      </c>
      <c r="M40" s="27"/>
      <c r="N40" s="28" t="str">
        <f t="shared" si="1"/>
        <v>3/4</v>
      </c>
      <c r="O40" s="29" t="str">
        <f t="shared" si="2"/>
        <v>B</v>
      </c>
      <c r="P40" s="30" t="str">
        <f t="shared" si="3"/>
        <v>Sin CI</v>
      </c>
      <c r="Q40" s="22" t="s">
        <v>60</v>
      </c>
      <c r="R40" s="22" t="s">
        <v>185</v>
      </c>
      <c r="S40" s="23"/>
      <c r="T40" s="28">
        <f t="shared" si="4"/>
        <v>0</v>
      </c>
      <c r="U40" s="28">
        <f t="shared" si="5"/>
        <v>3</v>
      </c>
      <c r="V40" s="28">
        <f t="shared" si="6"/>
        <v>0</v>
      </c>
      <c r="W40" s="28">
        <f t="shared" si="7"/>
        <v>0</v>
      </c>
    </row>
    <row r="41" ht="51.75" customHeight="1">
      <c r="A41" s="22">
        <v>34.0</v>
      </c>
      <c r="B41" s="23" t="s">
        <v>223</v>
      </c>
      <c r="C41" s="24" t="s">
        <v>237</v>
      </c>
      <c r="D41" s="23" t="s">
        <v>238</v>
      </c>
      <c r="E41" s="23" t="s">
        <v>239</v>
      </c>
      <c r="F41" s="23"/>
      <c r="G41" s="23"/>
      <c r="H41" s="25" t="s">
        <v>28</v>
      </c>
      <c r="I41" s="23" t="s">
        <v>240</v>
      </c>
      <c r="J41" s="26" t="s">
        <v>28</v>
      </c>
      <c r="K41" s="26" t="s">
        <v>28</v>
      </c>
      <c r="L41" s="26" t="s">
        <v>29</v>
      </c>
      <c r="M41" s="27"/>
      <c r="N41" s="28" t="str">
        <f t="shared" si="1"/>
        <v>3/4</v>
      </c>
      <c r="O41" s="29" t="str">
        <f t="shared" si="2"/>
        <v>A</v>
      </c>
      <c r="P41" s="30" t="str">
        <f t="shared" si="3"/>
        <v>Logs a la salida estándar de los contenedores</v>
      </c>
      <c r="Q41" s="22" t="s">
        <v>60</v>
      </c>
      <c r="R41" s="22" t="s">
        <v>185</v>
      </c>
      <c r="S41" s="23"/>
      <c r="T41" s="28">
        <f t="shared" si="4"/>
        <v>2</v>
      </c>
      <c r="U41" s="28">
        <f t="shared" si="5"/>
        <v>1</v>
      </c>
      <c r="V41" s="28">
        <f t="shared" si="6"/>
        <v>0</v>
      </c>
      <c r="W41" s="28">
        <f t="shared" si="7"/>
        <v>0</v>
      </c>
    </row>
    <row r="42" ht="15.75" customHeight="1"/>
    <row r="43" ht="15.75" customHeight="1">
      <c r="C43" s="3" t="s">
        <v>241</v>
      </c>
      <c r="D43" s="32">
        <f>ROWS(O8:O41)</f>
        <v>34</v>
      </c>
    </row>
    <row r="44" ht="15.75" customHeight="1">
      <c r="C44" s="3" t="s">
        <v>242</v>
      </c>
      <c r="D44" s="32">
        <f>COUNTIF(N8:N41,"4/4")</f>
        <v>0</v>
      </c>
    </row>
    <row r="45" ht="15.75" customHeight="1">
      <c r="C45" s="3" t="s">
        <v>243</v>
      </c>
      <c r="D45" s="32">
        <f>COUNTIF(O8:O41,"Sin votos")</f>
        <v>0</v>
      </c>
    </row>
    <row r="46" ht="15.75" customHeight="1">
      <c r="C46" s="3" t="s">
        <v>244</v>
      </c>
      <c r="D46" s="32">
        <f>COUNTIF(O8:O41,"Empate")</f>
        <v>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W$41"/>
  <mergeCells count="3">
    <mergeCell ref="A2:Q2"/>
    <mergeCell ref="A3:Q3"/>
    <mergeCell ref="A4:Q4"/>
  </mergeCells>
  <conditionalFormatting sqref="O8:O41">
    <cfRule type="cellIs" dxfId="0" priority="1" operator="equal">
      <formula>"Empate"</formula>
    </cfRule>
  </conditionalFormatting>
  <conditionalFormatting sqref="O8:O41">
    <cfRule type="expression" dxfId="1" priority="2">
      <formula>AND(N8="4/4",O8&lt;&gt;"Empate",O8&lt;&gt;"Otra")</formula>
    </cfRule>
  </conditionalFormatting>
  <dataValidations>
    <dataValidation type="list" allowBlank="1" sqref="J8:M41">
      <formula1>"A,B,C,D,Otra"</formula1>
    </dataValidation>
  </dataValidation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4.14"/>
    <col customWidth="1" min="3" max="5" width="28.0"/>
    <col customWidth="1" min="6" max="26" width="9.14"/>
  </cols>
  <sheetData>
    <row r="1">
      <c r="A1" s="1" t="s">
        <v>0</v>
      </c>
    </row>
    <row r="2" ht="42.0" customHeight="1">
      <c r="A2" s="2" t="s">
        <v>2</v>
      </c>
    </row>
    <row r="4">
      <c r="A4" s="3" t="s">
        <v>5</v>
      </c>
      <c r="B4" s="5" t="s">
        <v>7</v>
      </c>
      <c r="C4" s="6"/>
      <c r="D4" s="6"/>
      <c r="E4" s="7"/>
    </row>
    <row r="5">
      <c r="A5" s="3" t="s">
        <v>19</v>
      </c>
      <c r="B5" s="8"/>
      <c r="C5" s="6"/>
      <c r="D5" s="6"/>
      <c r="E5" s="7"/>
    </row>
    <row r="6">
      <c r="A6" s="3" t="s">
        <v>31</v>
      </c>
      <c r="B6" s="8"/>
      <c r="C6" s="6"/>
      <c r="D6" s="6"/>
      <c r="E6" s="7"/>
    </row>
    <row r="7">
      <c r="A7" s="3" t="s">
        <v>34</v>
      </c>
      <c r="B7" s="5" t="s">
        <v>36</v>
      </c>
      <c r="C7" s="6"/>
      <c r="D7" s="6"/>
      <c r="E7" s="7"/>
    </row>
    <row r="10">
      <c r="A10" s="13" t="s">
        <v>39</v>
      </c>
      <c r="B10" s="13" t="s">
        <v>42</v>
      </c>
      <c r="C10" s="13" t="s">
        <v>43</v>
      </c>
      <c r="D10" s="13" t="s">
        <v>45</v>
      </c>
      <c r="E10" s="13" t="s">
        <v>46</v>
      </c>
    </row>
    <row r="11">
      <c r="A11" s="16" t="s">
        <v>47</v>
      </c>
      <c r="B11" s="16" t="s">
        <v>48</v>
      </c>
      <c r="C11" s="16" t="s">
        <v>49</v>
      </c>
      <c r="D11" s="16" t="s">
        <v>50</v>
      </c>
      <c r="E11" s="16" t="s">
        <v>51</v>
      </c>
    </row>
    <row r="12">
      <c r="A12" s="17" t="s">
        <v>52</v>
      </c>
      <c r="B12" s="17" t="s">
        <v>53</v>
      </c>
      <c r="C12" s="18" t="s">
        <v>54</v>
      </c>
      <c r="D12" s="19"/>
      <c r="E12" s="19"/>
    </row>
    <row r="13">
      <c r="A13" s="17" t="s">
        <v>55</v>
      </c>
      <c r="B13" s="18" t="s">
        <v>56</v>
      </c>
      <c r="C13" s="19"/>
      <c r="D13" s="19"/>
      <c r="E13" s="19"/>
    </row>
    <row r="14">
      <c r="A14" s="17" t="s">
        <v>57</v>
      </c>
      <c r="B14" s="17" t="s">
        <v>58</v>
      </c>
      <c r="C14" s="19"/>
      <c r="D14" s="19"/>
      <c r="E14" s="19"/>
    </row>
    <row r="15">
      <c r="A15" s="17" t="s">
        <v>21</v>
      </c>
      <c r="B15" s="19"/>
      <c r="C15" s="19"/>
      <c r="D15" s="19"/>
      <c r="E15" s="19"/>
    </row>
    <row r="17">
      <c r="A17" s="20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B4:E4"/>
    <mergeCell ref="B5:E5"/>
    <mergeCell ref="B6:E6"/>
    <mergeCell ref="B7:E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2026-10-09T01:07:41Z</dcterms:created>
  <dc:creator>openpyxl</dc:creator>
</cp:coreProperties>
</file>